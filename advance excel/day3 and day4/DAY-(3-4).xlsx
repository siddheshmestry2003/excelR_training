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day3 and day4/"/>
    </mc:Choice>
  </mc:AlternateContent>
  <xr:revisionPtr revIDLastSave="152" documentId="11_671873D0BD93C2F214B0742547E990B9D31A8CBE" xr6:coauthVersionLast="47" xr6:coauthVersionMax="47" xr10:uidLastSave="{1746DD5E-33A3-4D0C-B9CD-DDF6F906F1CA}"/>
  <bookViews>
    <workbookView xWindow="11424" yWindow="0" windowWidth="11712" windowHeight="12336" activeTab="4" xr2:uid="{00000000-000D-0000-FFFF-FFFF00000000}"/>
  </bookViews>
  <sheets>
    <sheet name="Sum" sheetId="1" r:id="rId1"/>
    <sheet name="Sheet6" sheetId="6" r:id="rId2"/>
    <sheet name="Count" sheetId="2" r:id="rId3"/>
    <sheet name="Average" sheetId="3" r:id="rId4"/>
    <sheet name="Sheet2" sheetId="8" r:id="rId5"/>
    <sheet name="data_validtion" sheetId="7" r:id="rId6"/>
    <sheet name="Min-Max" sheetId="4" r:id="rId7"/>
  </sheets>
  <definedNames>
    <definedName name="CommissionRate">Sheet6!$D:$D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8" l="1" a="1"/>
  <c r="C41" i="8"/>
  <c r="H3" i="8"/>
  <c r="C41" i="1"/>
  <c r="C39" i="1"/>
  <c r="I35" i="1"/>
  <c r="I17" i="3"/>
  <c r="H27" i="1"/>
  <c r="H26" i="1"/>
  <c r="E5" i="6"/>
  <c r="F5" i="6" s="1"/>
  <c r="E6" i="6"/>
  <c r="F6" i="6" s="1"/>
  <c r="E4" i="6"/>
  <c r="F4" i="6" s="1"/>
  <c r="A52" i="6"/>
  <c r="A58" i="6"/>
  <c r="A78" i="6"/>
  <c r="A81" i="6"/>
  <c r="A83" i="6"/>
  <c r="I3" i="4"/>
  <c r="H3" i="4"/>
  <c r="F3" i="4"/>
  <c r="E3" i="4"/>
  <c r="H2" i="3"/>
  <c r="D13" i="3"/>
  <c r="E13" i="3"/>
  <c r="G2" i="3"/>
  <c r="I37" i="2"/>
  <c r="H25" i="2"/>
  <c r="H21" i="2"/>
  <c r="E33" i="1"/>
  <c r="K2" i="1"/>
  <c r="J2" i="1"/>
  <c r="E35" i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F20" i="1"/>
  <c r="G20" i="1" s="1"/>
  <c r="F31" i="1" l="1"/>
  <c r="F33" i="1" s="1"/>
  <c r="H20" i="1"/>
  <c r="E14" i="3"/>
  <c r="G4" i="6"/>
  <c r="H4" i="6"/>
  <c r="G6" i="6"/>
  <c r="H5" i="6"/>
  <c r="G5" i="6"/>
  <c r="H6" i="6"/>
  <c r="F35" i="1"/>
  <c r="G21" i="1"/>
  <c r="G3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<sst xmlns="http://schemas.openxmlformats.org/spreadsheetml/2006/main" count="406" uniqueCount="148">
  <si>
    <t>Order_ID</t>
  </si>
  <si>
    <t>Product_Name</t>
  </si>
  <si>
    <t>Seller_Name</t>
  </si>
  <si>
    <t>QTY</t>
  </si>
  <si>
    <t>Price</t>
  </si>
  <si>
    <t>Mobile Stand</t>
  </si>
  <si>
    <t>Bharat Electronics</t>
  </si>
  <si>
    <t>Mouse Pad</t>
  </si>
  <si>
    <t>Tech Mart</t>
  </si>
  <si>
    <t>Mouse</t>
  </si>
  <si>
    <t>Wireless Mouse</t>
  </si>
  <si>
    <t>Ring Light</t>
  </si>
  <si>
    <t>Store 99</t>
  </si>
  <si>
    <t>Keyboard</t>
  </si>
  <si>
    <t>Wireless Keyboard</t>
  </si>
  <si>
    <t>Store 100</t>
  </si>
  <si>
    <t>RGB Keyboard</t>
  </si>
  <si>
    <t>Store 101</t>
  </si>
  <si>
    <t>sumifs</t>
  </si>
  <si>
    <t>Item_ID</t>
  </si>
  <si>
    <t>Item_Name</t>
  </si>
  <si>
    <t>Region</t>
  </si>
  <si>
    <t>Qty</t>
  </si>
  <si>
    <t>Amount</t>
  </si>
  <si>
    <t>East</t>
  </si>
  <si>
    <t>Wesr</t>
  </si>
  <si>
    <t>Ring Light 12 Inch</t>
  </si>
  <si>
    <t>North</t>
  </si>
  <si>
    <t>Softbox</t>
  </si>
  <si>
    <t>Hard Disk (2TB)</t>
  </si>
  <si>
    <t>South</t>
  </si>
  <si>
    <t>Sumif</t>
  </si>
  <si>
    <t>Total</t>
  </si>
  <si>
    <t>SUBTOTAL</t>
  </si>
  <si>
    <t>SumProduct</t>
  </si>
  <si>
    <t>Sum</t>
  </si>
  <si>
    <t>Data-Datavalidation</t>
  </si>
  <si>
    <t>Total Orders</t>
  </si>
  <si>
    <t>keyboard</t>
  </si>
  <si>
    <t>CountIFs</t>
  </si>
  <si>
    <t>Countif</t>
  </si>
  <si>
    <t>QQ</t>
  </si>
  <si>
    <t>COUNT</t>
  </si>
  <si>
    <t>COUNTA</t>
  </si>
  <si>
    <t>COUNTBLANK</t>
  </si>
  <si>
    <t>Qty Avg.</t>
  </si>
  <si>
    <t>West</t>
  </si>
  <si>
    <t>Average</t>
  </si>
  <si>
    <t>AverageA</t>
  </si>
  <si>
    <t>qwe</t>
  </si>
  <si>
    <t>AVERAGE</t>
  </si>
  <si>
    <r>
      <t>What it does:</t>
    </r>
    <r>
      <rPr>
        <sz val="11"/>
        <color theme="1"/>
        <rFont val="Calibri"/>
        <family val="2"/>
        <scheme val="minor"/>
      </rPr>
      <t xml:space="preserve"> Calculates the mean of </t>
    </r>
    <r>
      <rPr>
        <b/>
        <sz val="11"/>
        <color theme="1"/>
        <rFont val="Calibri"/>
        <family val="2"/>
        <scheme val="minor"/>
      </rPr>
      <t>numeric</t>
    </r>
    <r>
      <rPr>
        <sz val="11"/>
        <color theme="1"/>
        <rFont val="Calibri"/>
        <family val="2"/>
        <scheme val="minor"/>
      </rPr>
      <t xml:space="preserve"> values only.</t>
    </r>
  </si>
  <si>
    <r>
      <t>Non-numeric cells</t>
    </r>
    <r>
      <rPr>
        <sz val="11"/>
        <color theme="1"/>
        <rFont val="Calibri"/>
        <family val="2"/>
        <scheme val="minor"/>
      </rPr>
      <t xml:space="preserve"> (text, logical values, empty cells) are </t>
    </r>
    <r>
      <rPr>
        <b/>
        <sz val="11"/>
        <color theme="1"/>
        <rFont val="Calibri"/>
        <family val="2"/>
        <scheme val="minor"/>
      </rPr>
      <t>ignored</t>
    </r>
    <r>
      <rPr>
        <sz val="11"/>
        <color theme="1"/>
        <rFont val="Calibri"/>
        <family val="2"/>
        <scheme val="minor"/>
      </rPr>
      <t>.</t>
    </r>
  </si>
  <si>
    <t>Note</t>
  </si>
  <si>
    <r>
      <t>What it does:</t>
    </r>
    <r>
      <rPr>
        <sz val="11"/>
        <color theme="1"/>
        <rFont val="Calibri"/>
        <family val="2"/>
        <scheme val="minor"/>
      </rPr>
      <t xml:space="preserve"> Calculates the mean of </t>
    </r>
    <r>
      <rPr>
        <b/>
        <sz val="11"/>
        <color theme="1"/>
        <rFont val="Calibri"/>
        <family val="2"/>
        <scheme val="minor"/>
      </rPr>
      <t>all values</t>
    </r>
    <r>
      <rPr>
        <sz val="11"/>
        <color theme="1"/>
        <rFont val="Calibri"/>
        <family val="2"/>
        <scheme val="minor"/>
      </rPr>
      <t>, converting non-numeric values to numbers.</t>
    </r>
  </si>
  <si>
    <r>
      <t>Counts:</t>
    </r>
    <r>
      <rPr>
        <sz val="11"/>
        <color theme="1"/>
        <rFont val="Calibri"/>
        <family val="2"/>
        <scheme val="minor"/>
      </rPr>
      <t xml:space="preserve"> Only </t>
    </r>
    <r>
      <rPr>
        <b/>
        <sz val="11"/>
        <color theme="1"/>
        <rFont val="Calibri"/>
        <family val="2"/>
        <scheme val="minor"/>
      </rPr>
      <t>numeric values</t>
    </r>
    <r>
      <rPr>
        <sz val="11"/>
        <color theme="1"/>
        <rFont val="Calibri"/>
        <family val="2"/>
        <scheme val="minor"/>
      </rPr>
      <t xml:space="preserve"> (numbers, dates, times).</t>
    </r>
  </si>
  <si>
    <r>
      <t>Ignores:</t>
    </r>
    <r>
      <rPr>
        <sz val="11"/>
        <color theme="1"/>
        <rFont val="Calibri"/>
        <family val="2"/>
        <scheme val="minor"/>
      </rPr>
      <t xml:space="preserve"> Text, logical values (TRUE/FALSE), errors, and blank cells.</t>
    </r>
  </si>
  <si>
    <r>
      <t>Counts: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All non-empty cells</t>
    </r>
    <r>
      <rPr>
        <sz val="11"/>
        <color theme="1"/>
        <rFont val="Calibri"/>
        <family val="2"/>
        <scheme val="minor"/>
      </rPr>
      <t>, regardless of data type (numbers, text, logical values, errors).</t>
    </r>
  </si>
  <si>
    <r>
      <t>Ignores:</t>
    </r>
    <r>
      <rPr>
        <sz val="11"/>
        <color theme="1"/>
        <rFont val="Calibri"/>
        <family val="2"/>
        <scheme val="minor"/>
      </rPr>
      <t xml:space="preserve"> Truly empty cells.</t>
    </r>
  </si>
  <si>
    <r>
      <t>Counts:</t>
    </r>
    <r>
      <rPr>
        <sz val="11"/>
        <color theme="1"/>
        <rFont val="Calibri"/>
        <family val="2"/>
        <scheme val="minor"/>
      </rPr>
      <t xml:space="preserve"> Cells that are </t>
    </r>
    <r>
      <rPr>
        <b/>
        <sz val="11"/>
        <color theme="1"/>
        <rFont val="Calibri"/>
        <family val="2"/>
        <scheme val="minor"/>
      </rPr>
      <t>truly empty</t>
    </r>
    <r>
      <rPr>
        <sz val="11"/>
        <color theme="1"/>
        <rFont val="Calibri"/>
        <family val="2"/>
        <scheme val="minor"/>
      </rPr>
      <t xml:space="preserve"> or that return </t>
    </r>
    <r>
      <rPr>
        <sz val="10"/>
        <color theme="1"/>
        <rFont val="Arial Unicode MS"/>
        <family val="2"/>
      </rPr>
      <t>""</t>
    </r>
    <r>
      <rPr>
        <sz val="11"/>
        <color theme="1"/>
        <rFont val="Calibri"/>
        <family val="2"/>
        <scheme val="minor"/>
      </rPr>
      <t xml:space="preserve"> from a formula.</t>
    </r>
  </si>
  <si>
    <r>
      <t>Ignores:</t>
    </r>
    <r>
      <rPr>
        <sz val="11"/>
        <color theme="1"/>
        <rFont val="Calibri"/>
        <family val="2"/>
        <scheme val="minor"/>
      </rPr>
      <t xml:space="preserve"> Non-empty cells, even if they contain </t>
    </r>
    <r>
      <rPr>
        <sz val="10"/>
        <color theme="1"/>
        <rFont val="Arial Unicode MS"/>
        <family val="2"/>
      </rPr>
      <t>0</t>
    </r>
    <r>
      <rPr>
        <sz val="11"/>
        <color theme="1"/>
        <rFont val="Calibri"/>
        <family val="2"/>
        <scheme val="minor"/>
      </rPr>
      <t>, spaces, or invisible characters.</t>
    </r>
  </si>
  <si>
    <t>Product ID</t>
  </si>
  <si>
    <t>Defect Score</t>
  </si>
  <si>
    <t>P101</t>
  </si>
  <si>
    <t>P102</t>
  </si>
  <si>
    <t>P103</t>
  </si>
  <si>
    <t>P104</t>
  </si>
  <si>
    <t>P105</t>
  </si>
  <si>
    <t>"Error"</t>
  </si>
  <si>
    <t>P106</t>
  </si>
  <si>
    <t>(blank)</t>
  </si>
  <si>
    <t>P107</t>
  </si>
  <si>
    <t>Formula:</t>
  </si>
  <si>
    <t>excel</t>
  </si>
  <si>
    <t>CopyEdit</t>
  </si>
  <si>
    <t>How Excel sees the data:</t>
  </si>
  <si>
    <t>Numbers: 10, 5, 8</t>
  </si>
  <si>
    <t>Ignores: TRUE, FALSE, "Error", blank</t>
  </si>
  <si>
    <r>
      <t>Result: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5</t>
    </r>
    <r>
      <rPr>
        <sz val="11"/>
        <color theme="1"/>
        <rFont val="Calibri"/>
        <family val="2"/>
        <scheme val="minor"/>
      </rPr>
      <t xml:space="preserve"> (smallest numeric value)</t>
    </r>
  </si>
  <si>
    <t>How Excel converts the data:</t>
  </si>
  <si>
    <t>10 → 10</t>
  </si>
  <si>
    <t>5 → 5</t>
  </si>
  <si>
    <t>TRUE → 1</t>
  </si>
  <si>
    <t>FALSE → 0</t>
  </si>
  <si>
    <t>"Error" (text) → 0</t>
  </si>
  <si>
    <t>Blank → ignored</t>
  </si>
  <si>
    <t>8 → 8</t>
  </si>
  <si>
    <r>
      <t xml:space="preserve">Now Excel compares: </t>
    </r>
    <r>
      <rPr>
        <b/>
        <sz val="11"/>
        <color theme="1"/>
        <rFont val="Calibri"/>
        <family val="2"/>
        <scheme val="minor"/>
      </rPr>
      <t>10, 5, 1, 0, 0, 8</t>
    </r>
  </si>
  <si>
    <r>
      <t>Result: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0</t>
    </r>
    <r>
      <rPr>
        <sz val="11"/>
        <color theme="1"/>
        <rFont val="Calibri"/>
        <family val="2"/>
        <scheme val="minor"/>
      </rPr>
      <t xml:space="preserve"> (lowest after conversions)</t>
    </r>
  </si>
  <si>
    <r>
      <t xml:space="preserve">Using </t>
    </r>
    <r>
      <rPr>
        <b/>
        <sz val="10"/>
        <color theme="1"/>
        <rFont val="Arial Unicode MS"/>
        <family val="2"/>
      </rPr>
      <t>MIN</t>
    </r>
  </si>
  <si>
    <r>
      <t xml:space="preserve">Using </t>
    </r>
    <r>
      <rPr>
        <b/>
        <sz val="10"/>
        <color theme="1"/>
        <rFont val="Arial Unicode MS"/>
        <family val="2"/>
      </rPr>
      <t>MINA</t>
    </r>
  </si>
  <si>
    <r>
      <t xml:space="preserve">Using </t>
    </r>
    <r>
      <rPr>
        <b/>
        <sz val="10"/>
        <color theme="1"/>
        <rFont val="Arial Unicode MS"/>
        <family val="2"/>
      </rPr>
      <t>MAX</t>
    </r>
  </si>
  <si>
    <r>
      <t>Result: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10</t>
    </r>
    <r>
      <rPr>
        <sz val="11"/>
        <color theme="1"/>
        <rFont val="Calibri"/>
        <family val="2"/>
        <scheme val="minor"/>
      </rPr>
      <t xml:space="preserve"> (largest numeric value)</t>
    </r>
  </si>
  <si>
    <r>
      <t xml:space="preserve">2. Using </t>
    </r>
    <r>
      <rPr>
        <b/>
        <sz val="10"/>
        <color theme="1"/>
        <rFont val="Arial Unicode MS"/>
        <family val="2"/>
      </rPr>
      <t>MAXA</t>
    </r>
  </si>
  <si>
    <r>
      <t>Result: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10</t>
    </r>
    <r>
      <rPr>
        <sz val="11"/>
        <color theme="1"/>
        <rFont val="Calibri"/>
        <family val="2"/>
        <scheme val="minor"/>
      </rPr>
      <t xml:space="preserve"> (still the largest after conversions)</t>
    </r>
  </si>
  <si>
    <t>Case Study: Sales Commission Calculation</t>
  </si>
  <si>
    <t>Product</t>
  </si>
  <si>
    <t>Quantity</t>
  </si>
  <si>
    <t>Commission %</t>
  </si>
  <si>
    <t>Pen</t>
  </si>
  <si>
    <t>Pencil</t>
  </si>
  <si>
    <t>Eraser</t>
  </si>
  <si>
    <r>
      <t xml:space="preserve">We want to calculate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 xml:space="preserve"> = </t>
    </r>
    <r>
      <rPr>
        <sz val="10"/>
        <color theme="1"/>
        <rFont val="Arial Unicode MS"/>
        <family val="2"/>
      </rPr>
      <t>Price × Quantity</t>
    </r>
  </si>
  <si>
    <r>
      <t xml:space="preserve">Then calculate </t>
    </r>
    <r>
      <rPr>
        <b/>
        <sz val="11"/>
        <color theme="1"/>
        <rFont val="Calibri"/>
        <family val="2"/>
        <scheme val="minor"/>
      </rPr>
      <t>Commission Amount</t>
    </r>
    <r>
      <rPr>
        <sz val="11"/>
        <color theme="1"/>
        <rFont val="Calibri"/>
        <family val="2"/>
        <scheme val="minor"/>
      </rPr>
      <t xml:space="preserve"> = </t>
    </r>
    <r>
      <rPr>
        <sz val="10"/>
        <color theme="1"/>
        <rFont val="Arial Unicode MS"/>
        <family val="2"/>
      </rPr>
      <t>Total Sales × Commission %</t>
    </r>
  </si>
  <si>
    <t>Example:</t>
  </si>
  <si>
    <r>
      <t>Definition:</t>
    </r>
    <r>
      <rPr>
        <sz val="11"/>
        <color theme="1"/>
        <rFont val="Calibri"/>
        <family val="2"/>
        <scheme val="minor"/>
      </rPr>
      <t xml:space="preserve"> Either the </t>
    </r>
    <r>
      <rPr>
        <b/>
        <sz val="11"/>
        <color theme="1"/>
        <rFont val="Calibri"/>
        <family val="2"/>
        <scheme val="minor"/>
      </rPr>
      <t>row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column</t>
    </r>
    <r>
      <rPr>
        <sz val="11"/>
        <color theme="1"/>
        <rFont val="Calibri"/>
        <family val="2"/>
        <scheme val="minor"/>
      </rPr>
      <t xml:space="preserve"> is locked, not both.</t>
    </r>
  </si>
  <si>
    <t>Types:</t>
  </si>
  <si>
    <t>If Commission % is in Row 2 but across multiple columns,</t>
  </si>
  <si>
    <t>4. Named Ranges</t>
  </si>
  <si>
    <r>
      <t>Definition:</t>
    </r>
    <r>
      <rPr>
        <sz val="11"/>
        <color theme="1"/>
        <rFont val="Calibri"/>
        <family val="2"/>
        <scheme val="minor"/>
      </rPr>
      <t xml:space="preserve"> Give a cell or range a name for easier reference.</t>
    </r>
  </si>
  <si>
    <r>
      <t xml:space="preserve">Select D2, go to </t>
    </r>
    <r>
      <rPr>
        <b/>
        <sz val="11"/>
        <color theme="1"/>
        <rFont val="Calibri"/>
        <family val="2"/>
        <scheme val="minor"/>
      </rPr>
      <t>Formulas → Define Name → Name: CommissionRate</t>
    </r>
  </si>
  <si>
    <t>Now instead of:</t>
  </si>
  <si>
    <t>You can write:</t>
  </si>
  <si>
    <t>Benefits:</t>
  </si>
  <si>
    <t>Easier to read formulas</t>
  </si>
  <si>
    <t>No confusion if you later change the cell location</t>
  </si>
  <si>
    <t>Works across sheets</t>
  </si>
  <si>
    <t>Practical View in This Case Study</t>
  </si>
  <si>
    <r>
      <t>Total Sales formula (</t>
    </r>
    <r>
      <rPr>
        <b/>
        <sz val="11"/>
        <color theme="1"/>
        <rFont val="Calibri"/>
        <family val="2"/>
        <scheme val="minor"/>
      </rPr>
      <t>E2</t>
    </r>
    <r>
      <rPr>
        <sz val="11"/>
        <color theme="1"/>
        <rFont val="Calibri"/>
        <family val="2"/>
        <scheme val="minor"/>
      </rPr>
      <t>):</t>
    </r>
  </si>
  <si>
    <r>
      <t>Commission formula (</t>
    </r>
    <r>
      <rPr>
        <b/>
        <sz val="11"/>
        <color theme="1"/>
        <rFont val="Calibri"/>
        <family val="2"/>
        <scheme val="minor"/>
      </rPr>
      <t>F2</t>
    </r>
    <r>
      <rPr>
        <sz val="11"/>
        <color theme="1"/>
        <rFont val="Calibri"/>
        <family val="2"/>
        <scheme val="minor"/>
      </rPr>
      <t>):</t>
    </r>
  </si>
  <si>
    <t>OR</t>
  </si>
  <si>
    <t>Relative References</t>
  </si>
  <si>
    <r>
      <t>Why?</t>
    </r>
    <r>
      <rPr>
        <sz val="11"/>
        <color theme="1"/>
        <rFont val="Calibri"/>
        <family val="2"/>
        <scheme val="minor"/>
      </rPr>
      <t xml:space="preserve"> Because </t>
    </r>
    <r>
      <rPr>
        <sz val="10"/>
        <color theme="1"/>
        <rFont val="Arial Unicode MS"/>
        <family val="2"/>
      </rPr>
      <t>B6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C6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relative</t>
    </r>
    <r>
      <rPr>
        <sz val="11"/>
        <color theme="1"/>
        <rFont val="Calibri"/>
        <family val="2"/>
        <scheme val="minor"/>
      </rPr>
      <t xml:space="preserve"> — they adjust based on where the formula is pasted.</t>
    </r>
  </si>
  <si>
    <t>Absolute References</t>
  </si>
  <si>
    <t>Cell references do not change when copied — you lock them with $.</t>
  </si>
  <si>
    <t>Mixed References</t>
  </si>
  <si>
    <r>
      <t>1. $B6</t>
    </r>
    <r>
      <rPr>
        <sz val="11"/>
        <color theme="1"/>
        <rFont val="Calibri"/>
        <family val="2"/>
        <scheme val="minor"/>
      </rPr>
      <t xml:space="preserve"> → Lock column B, but row changes when copied down.</t>
    </r>
  </si>
  <si>
    <r>
      <t>2. B$6</t>
    </r>
    <r>
      <rPr>
        <sz val="11"/>
        <color theme="1"/>
        <rFont val="Calibri"/>
        <family val="2"/>
        <scheme val="minor"/>
      </rPr>
      <t xml:space="preserve"> → Lock row 2, but column changes when copied across.</t>
    </r>
  </si>
  <si>
    <r>
      <t>E6*B$6</t>
    </r>
    <r>
      <rPr>
        <sz val="11"/>
        <color theme="1"/>
        <rFont val="Calibri"/>
        <family val="2"/>
        <scheme val="minor"/>
      </rPr>
      <t xml:space="preserve"> → keeps Row 2 fixed while changing columns when copied right.</t>
    </r>
  </si>
  <si>
    <t>Named Ranges</t>
  </si>
  <si>
    <r>
      <t>Relative,Absolute, Mixed References</t>
    </r>
    <r>
      <rPr>
        <sz val="20"/>
        <color theme="1"/>
        <rFont val="Calibri"/>
        <family val="2"/>
        <scheme val="minor"/>
      </rPr>
      <t xml:space="preserve"> and </t>
    </r>
    <r>
      <rPr>
        <b/>
        <sz val="20"/>
        <color theme="1"/>
        <rFont val="Calibri"/>
        <family val="2"/>
        <scheme val="minor"/>
      </rPr>
      <t>Named Ranges</t>
    </r>
    <r>
      <rPr>
        <sz val="20"/>
        <color theme="1"/>
        <rFont val="Calibri"/>
        <family val="2"/>
        <scheme val="minor"/>
      </rPr>
      <t xml:space="preserve"> .</t>
    </r>
  </si>
  <si>
    <t>Subtotal() with 9 total</t>
  </si>
  <si>
    <t>Subtotal() with 109 total</t>
  </si>
  <si>
    <t>it make sumation even if some data is hide</t>
  </si>
  <si>
    <t>I make summation of only unhide data</t>
  </si>
  <si>
    <t>sumporduct() is used to calculate sumation of multiple column</t>
  </si>
  <si>
    <t>calculate average price of produce mouse or mouse pad and qty less than 15</t>
  </si>
  <si>
    <t>sumproduct=-&gt;</t>
  </si>
  <si>
    <t>sumation (price*qty) is done similarly by sumproduct function</t>
  </si>
  <si>
    <t>subtotal -&gt;</t>
  </si>
  <si>
    <t>subtotal with hide data</t>
  </si>
  <si>
    <t>siddhes</t>
  </si>
  <si>
    <t>mesery</t>
  </si>
  <si>
    <t>see</t>
  </si>
  <si>
    <t>"100"</t>
  </si>
  <si>
    <t>grade(if)</t>
  </si>
  <si>
    <t>grade(switch)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</si>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</sst>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7" tint="0.59999389629810485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2" xfId="0" applyFont="1" applyFill="1" applyBorder="1"/>
    <xf numFmtId="0" fontId="0" fillId="0" borderId="0" xfId="0" applyAlignment="1">
      <alignment horizontal="left"/>
    </xf>
    <xf numFmtId="0" fontId="2" fillId="2" borderId="0" xfId="0" applyFont="1" applyFill="1"/>
    <xf numFmtId="0" fontId="2" fillId="2" borderId="3" xfId="0" applyFont="1" applyFill="1" applyBorder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vertical="center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5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9" fillId="4" borderId="2" xfId="0" applyFont="1" applyFill="1" applyBorder="1"/>
    <xf numFmtId="0" fontId="10" fillId="5" borderId="0" xfId="0" applyFont="1" applyFill="1"/>
    <xf numFmtId="0" fontId="0" fillId="0" borderId="3" xfId="0" applyBorder="1"/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418800</xdr:colOff>
      <xdr:row>30</xdr:row>
      <xdr:rowOff>159840</xdr:rowOff>
    </xdr:from>
    <xdr:to>
      <xdr:col>6</xdr:col>
      <xdr:colOff>597600</xdr:colOff>
      <xdr:row>36</xdr:row>
      <xdr:rowOff>145500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78FF694-DE6E-C41F-F46A-036AEB96F58E}"/>
                </a:ext>
              </a:extLst>
            </xdr14:cNvPr>
            <xdr14:cNvContentPartPr/>
          </xdr14:nvContentPartPr>
          <xdr14:nvPr macro=""/>
          <xdr14:xfrm>
            <a:off x="5021280" y="5737680"/>
            <a:ext cx="788400" cy="11667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78FF694-DE6E-C41F-F46A-036AEB96F58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012640" y="5728680"/>
              <a:ext cx="806040" cy="11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342720</xdr:colOff>
      <xdr:row>36</xdr:row>
      <xdr:rowOff>60</xdr:rowOff>
    </xdr:from>
    <xdr:to>
      <xdr:col>8</xdr:col>
      <xdr:colOff>226800</xdr:colOff>
      <xdr:row>38</xdr:row>
      <xdr:rowOff>23460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9C3824E3-1CF9-7140-A5D1-ACECF9A35E80}"/>
                </a:ext>
              </a:extLst>
            </xdr14:cNvPr>
            <xdr14:cNvContentPartPr/>
          </xdr14:nvContentPartPr>
          <xdr14:nvPr macro=""/>
          <xdr14:xfrm>
            <a:off x="5554800" y="6759000"/>
            <a:ext cx="1758600" cy="3891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9C3824E3-1CF9-7140-A5D1-ACECF9A35E8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546160" y="6750000"/>
              <a:ext cx="1776240" cy="406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8T11:28:40.191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0"/>
      <inkml:brushProperty name="anchorY" value="0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205.47241"/>
      <inkml:brushProperty name="anchorY" value="-2744.18652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138.0957"/>
      <inkml:brushProperty name="anchorY" value="-2986.73779"/>
      <inkml:brushProperty name="scaleFactor" value="0.5"/>
    </inkml:brush>
  </inkml:definitions>
  <inkml:trace contextRef="#ctx0" brushRef="#br0">1 0 24575,'0'0'0,"0"4"0,8 9 0,13 13 0,10 8 0,2 10 0,0 0 0,2 5 0,-2 4 0,2-1 0,0 4 0,3-7 0,-7 2 0,-3-6 0,1-7 0,-3-2 0,-5-4 0,-1-3 0,-2-4 0,-4-2 0,1-1 0,0-2 0,-3 1 0,2-5 0,-3 1 0,-3-1 0,1 1 0,-1 2 0,2-4 0,-2 1 0,3-4 0,-2 1 0,-2 1 0,2 3 0,3 1 0,-1 1 0,1 1 0,3 1 0,2-4 0,-3 5 0,2-1 0,0-3 0,-2 0 0,1 4 0,0 1 0,2 1 0,-2-1 0,0-4 0,1-1 0,-3 0 0,1 0 0,2 1 0,1 0 0,1-3 0,2 0 0,-4 1 0,1-4 0,-4 2 0,0 0 0,2-2 0,1 1 0,2-3 0,1-3 0,1 2 0,1-2 0,-3 1 0,-1 0 0,0-3 0,1-1 0,1 2 0,0-1 0,-3 3 0,5-1 0,4-2 0,6-1 0,-4 3 0,-1-2 0,-3-1 0,0-1 0,-1-1 0,-1-2 0,-1-1 0,1 1 0,0-2 0,-4 5 0,-1 0 0,1 0 0,0 0 0,2 2 0,0 0 0,2 0 0,0-3 0,0 0 0,0-1 0,0-2 0,1 0 0,-5 5 0,0-1 0,0 4 0,0 0 0,2-2 0,0-1 0,-3-1 0,1 2 0,0-1 0,0 0 0,-2-2 0,0-1 0,1 0 0,-3 3 0,1-1 0,2 1 0,1 2 0,-3 0 0,1-1 0,2-2 0,-4-1 0,1-1 0,2-1 0,1-1 0,-3 0 0,-3 3 0,1 1 0,-3 1 0</inkml:trace>
  <inkml:trace contextRef="#ctx0" brushRef="#br1" timeOffset="2546.19">1610 1630 24575,'0'0'0,"0"7"0,0 8 0,0 2 0,0 7 0,-5 2 0,1 1 0,0 3 0,0 0 0,2-2 0,0-2 0,1-2 0,1-1 0,0-1 0,0 0 0,0-1 0,0 0 0,0-1 0,0 1 0,0 4 0,1 1 0,-1 3 0,0 0 0,0 0 0,0-3 0,0-1 0,0-2 0,0 3 0,0 0 0,-1-1 0,1 0 0,0-2 0,0 0 0,0-2 0,0 1 0,1-1 0,-1 0 0,0 0 0,0 0 0,0 0 0,0 0 0,0 0 0,0 0 0,0 0 0,0 1 0,0-1 0,0 0 0,0 0 0,-5 0 0,1 0 0,0 1 0,0-1 0,2 0 0,0 0 0,1 0 0,-3-4 0,-1-4 0</inkml:trace>
  <inkml:trace contextRef="#ctx0" brushRef="#br2" timeOffset="4647.76">1250 2815 24575,'0'0'0,"3"0"0,2 0 0,4 5 0,3 3 0,-1 5 0,-1 0 0,1-3 0,2 2 0,3 2 0,-3-2 0,-2 1 0,0-2 0,3 1 0,1 2 0,-1 3 0,0-3 0,-2 1 0,1-3 0,-3 1 0,-2 1 0,1-2 0,3 2 0,-2 1 0,-2 2 0,2-2 0,-1 0 0,1-3 0,-1 1 0,2-3 0,-1 2 0,1-2 0,-1 1 0,1-1 0,-1 1 0,-3-1 0,2-3 0,3-2 0,-1-2 0,1-1 0,3-6 0,2 0 0,-3-5 0,-2-4 0,0-3 0,1 2 0,-2-2 0,2-5 0,2 3 0,1-6 0,7-4 0,1-5 0,1 1 0,0 1 0,-5 2 0,-1 3 0,-1 6 0,0-2 0,-4 0 0,1 4 0,1 1 0,-3 0 0,-3-1 0,1 3 0,-3 0 0,3 3 0,-3 0 0,3 2 0,-2-2 0,-2-2 0,-2-1 0,-2 1 0,3 3 0,-1 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8T11:29:03.95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4032.45825"/>
      <inkml:brushProperty name="anchorY" value="-3838.89893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9350.88574"/>
      <inkml:brushProperty name="anchorY" value="-5701.17822"/>
      <inkml:brushProperty name="scaleFactor" value="0.5"/>
    </inkml:brush>
  </inkml:definitions>
  <inkml:trace contextRef="#ctx0" brushRef="#br0">1 0 24575,'0'0'0,"0"7"0,4 12 0,0 2 0,4 8 0,5 4 0,2 1 0,-1 2 0,2 6 0,1 3 0,1 0 0,1-4 0,1-1 0,-3-4 0,0-4 0,0-5 0,-4-2 0,2-3 0,-4-1 0,1 0 0,2-1 0,2-4 0,-2 0 0,1 1 0,1-4 0,-3 1 0,-2 1 0,0-3 0,-3 2 0,3-3 0,1 2 0,-1 1 0,3-2 0,1 2 0,-2 1 0,1-3 0,-3 2 0,2-3 0,1-2 0,3 1 0,1-2 0,1-2 0,2 2 0,0-1 0,0-2 0,1-1 0,-1-1 0,5-2 0,0 0 0,-1-1 0,0-1 0,3 1 0,-1 0 0,4-1 0,3 1 0,-2 0 0,3 0 0,-3 0 0,7 0 0,1 0 0,2 0 0,1 0 0,4 0 0,1 0 0,0 0 0,2 0 0,-4 0 0,2-4 0,-1 0 0,-1-1 0,-1-3 0,4 1 0,-6 1 0,4 2 0,3 1 0,-4 1 0,3 1 0,-6 1 0,4 0 0,-2-4 0,4 0 0,0 0 0,3 1 0,3 0 0,0-3 0,1 1 0,2 1 0,-3 0 0,2 2 0,-3 0 0,-3 1 0,-3 1 0,-2 0 0,-2 0 0,3 1 0,-5-1 0,0 0 0,3 0 0,-4 0 0,0 0 0,-5 0 0,1 0 0,-1 0 0,-2 0 0,5 0 0,-3 0 0,2 0 0,0 0 0,-2 0 0,0 0 0,-3 0 0,1 0 0,1 0 0,3 0 0,1 0 0,-3 0 0,-3 0 0,1 0 0,-4 0 0,2 0 0,-2 0 0,-2 0 0,-2 0 0,-2 0 0,-2 0 0,0 0 0,-1 0 0,0 0 0,0 0 0,-1 0 0,1 0 0,0 0 0,0 0 0,0 0 0,0 0 0,1 0 0,-1 0 0,0 0 0,0 0 0,0 0 0,1 0 0,-1 0 0,0 0 0,0 0 0,0 0 0,-4 4 0,0 1 0,0-1 0,-8 4 0,-3 3 0,-4-1 0</inkml:trace>
  <inkml:trace contextRef="#ctx0" brushRef="#br1" timeOffset="2710.83">4256 741 24575,'0'0'0,"3"0"0,15 0 0,7 4 0,13 1 0,10 3 0,-1 4 0,4-1 0,0 3 0,-6 2 0,-6 1 0,-2-2 0,-5 1 0,1-3 0,-3 0 0,-3-3 0,-2-2 0,-6 1 0,-1-1 0,-5 1 0,0-1 0,-3 3 0,-3 3 0,-7-3 0,-2 3 0,-6-3 0,-4-2 0,-4-3 0,-2-3 0,-3-1 0,0-1 0,-1-2 0,0 1 0,0-1 0,0 1 0,0 0 0,1-1 0,0 1 0,-1 0 0,1 0 0,0 0 0,0 0 0,0 0 0,0 4 0,0 1 0,-1-1 0,6 4 0,-1-1 0,0-1 0,-1 2 0,0-1 0,-2-1 0,0-1 0,-1-3 0,0 0 0,8-1 0,5-1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workbookViewId="0">
      <selection activeCell="B38" sqref="B38"/>
    </sheetView>
  </sheetViews>
  <sheetFormatPr defaultRowHeight="14.4"/>
  <cols>
    <col min="1" max="1" width="11.6640625" bestFit="1" customWidth="1"/>
    <col min="2" max="2" width="18.44140625" bestFit="1" customWidth="1"/>
    <col min="3" max="3" width="16.88671875" bestFit="1" customWidth="1"/>
    <col min="4" max="4" width="13.109375" bestFit="1" customWidth="1"/>
    <col min="5" max="5" width="7" bestFit="1" customWidth="1"/>
    <col min="8" max="8" width="18.44140625" bestFit="1" customWidth="1"/>
    <col min="9" max="9" width="66.88671875" bestFit="1" customWidth="1"/>
    <col min="10" max="10" width="36.109375" bestFit="1" customWidth="1"/>
    <col min="13" max="13" width="18.88671875" bestFit="1" customWidth="1"/>
  </cols>
  <sheetData>
    <row r="1" spans="1:13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1</v>
      </c>
      <c r="I1" s="2" t="s">
        <v>2</v>
      </c>
      <c r="J1" s="2" t="s">
        <v>31</v>
      </c>
      <c r="K1" s="7" t="s">
        <v>18</v>
      </c>
    </row>
    <row r="2" spans="1:13">
      <c r="A2" s="3">
        <v>100</v>
      </c>
      <c r="B2" s="4" t="s">
        <v>5</v>
      </c>
      <c r="C2" s="4" t="s">
        <v>6</v>
      </c>
      <c r="D2" s="4">
        <v>10</v>
      </c>
      <c r="E2" s="4">
        <v>70</v>
      </c>
      <c r="H2" s="4" t="s">
        <v>9</v>
      </c>
      <c r="I2" s="4" t="s">
        <v>15</v>
      </c>
      <c r="J2" s="4">
        <f>SUMIF(B2:B12,H2,E2:E12)</f>
        <v>410</v>
      </c>
      <c r="K2">
        <f>SUMIFS(E2:E12,B2:B12,H2,C2:C12,I2)</f>
        <v>200</v>
      </c>
      <c r="M2" t="s">
        <v>36</v>
      </c>
    </row>
    <row r="3" spans="1:13">
      <c r="A3" s="3">
        <v>101</v>
      </c>
      <c r="B3" s="4" t="s">
        <v>7</v>
      </c>
      <c r="C3" s="4" t="s">
        <v>8</v>
      </c>
      <c r="D3" s="4">
        <v>12</v>
      </c>
      <c r="E3" s="4">
        <v>40</v>
      </c>
    </row>
    <row r="4" spans="1:13">
      <c r="A4" s="3">
        <v>102</v>
      </c>
      <c r="B4" s="4" t="s">
        <v>9</v>
      </c>
      <c r="C4" s="4" t="s">
        <v>6</v>
      </c>
      <c r="D4" s="4">
        <v>5</v>
      </c>
      <c r="E4" s="4">
        <v>210</v>
      </c>
    </row>
    <row r="5" spans="1:13">
      <c r="A5" s="3">
        <v>103</v>
      </c>
      <c r="B5" s="4" t="s">
        <v>10</v>
      </c>
      <c r="C5" s="4" t="s">
        <v>8</v>
      </c>
      <c r="D5" s="4">
        <v>5</v>
      </c>
      <c r="E5" s="4">
        <v>599</v>
      </c>
    </row>
    <row r="6" spans="1:13">
      <c r="A6" s="3">
        <v>104</v>
      </c>
      <c r="B6" s="4" t="s">
        <v>11</v>
      </c>
      <c r="C6" s="4" t="s">
        <v>12</v>
      </c>
      <c r="D6" s="4">
        <v>8</v>
      </c>
      <c r="E6" s="4">
        <v>1250</v>
      </c>
    </row>
    <row r="7" spans="1:13">
      <c r="A7" s="3">
        <v>105</v>
      </c>
      <c r="B7" s="4" t="s">
        <v>13</v>
      </c>
      <c r="C7" s="4" t="s">
        <v>6</v>
      </c>
      <c r="D7" s="4">
        <v>20</v>
      </c>
      <c r="E7" s="4">
        <v>300</v>
      </c>
    </row>
    <row r="8" spans="1:13">
      <c r="A8" s="3">
        <v>106</v>
      </c>
      <c r="B8" s="4" t="s">
        <v>14</v>
      </c>
      <c r="C8" s="4" t="s">
        <v>8</v>
      </c>
      <c r="D8" s="4">
        <v>50</v>
      </c>
      <c r="E8" s="4">
        <v>799</v>
      </c>
    </row>
    <row r="9" spans="1:13">
      <c r="A9" s="3">
        <v>107</v>
      </c>
      <c r="B9" s="4" t="s">
        <v>9</v>
      </c>
      <c r="C9" s="4" t="s">
        <v>15</v>
      </c>
      <c r="D9" s="4">
        <v>10</v>
      </c>
      <c r="E9" s="4">
        <v>200</v>
      </c>
    </row>
    <row r="10" spans="1:13">
      <c r="A10" s="3">
        <v>108</v>
      </c>
      <c r="B10" s="4" t="s">
        <v>13</v>
      </c>
      <c r="C10" s="4" t="s">
        <v>6</v>
      </c>
      <c r="D10" s="4">
        <v>5</v>
      </c>
      <c r="E10" s="4">
        <v>310</v>
      </c>
    </row>
    <row r="11" spans="1:13">
      <c r="A11" s="3">
        <v>109</v>
      </c>
      <c r="B11" s="4" t="s">
        <v>11</v>
      </c>
      <c r="C11" s="4" t="s">
        <v>8</v>
      </c>
      <c r="D11" s="4">
        <v>12</v>
      </c>
      <c r="E11" s="4">
        <v>1500</v>
      </c>
    </row>
    <row r="12" spans="1:13">
      <c r="A12" s="3">
        <v>110</v>
      </c>
      <c r="B12" s="4" t="s">
        <v>16</v>
      </c>
      <c r="C12" s="4" t="s">
        <v>17</v>
      </c>
      <c r="D12" s="4">
        <v>7</v>
      </c>
      <c r="E12" s="4">
        <v>999</v>
      </c>
    </row>
    <row r="19" spans="1:10" ht="18">
      <c r="A19" s="1" t="s">
        <v>19</v>
      </c>
      <c r="B19" s="2" t="s">
        <v>20</v>
      </c>
      <c r="C19" s="2" t="s">
        <v>21</v>
      </c>
      <c r="D19" s="2" t="s">
        <v>4</v>
      </c>
      <c r="E19" s="2" t="s">
        <v>22</v>
      </c>
      <c r="F19" s="2" t="s">
        <v>23</v>
      </c>
      <c r="G19" s="8" t="s">
        <v>35</v>
      </c>
      <c r="H19" s="5" t="s">
        <v>34</v>
      </c>
      <c r="I19" s="40" t="s">
        <v>135</v>
      </c>
    </row>
    <row r="20" spans="1:10">
      <c r="A20" s="3">
        <v>100</v>
      </c>
      <c r="B20" s="4" t="s">
        <v>9</v>
      </c>
      <c r="C20" s="4" t="s">
        <v>24</v>
      </c>
      <c r="D20" s="4">
        <v>220</v>
      </c>
      <c r="E20" s="4">
        <v>10</v>
      </c>
      <c r="F20" s="4">
        <f>D20*E20</f>
        <v>2200</v>
      </c>
      <c r="G20">
        <f>SUM(D20:F20)</f>
        <v>2430</v>
      </c>
      <c r="H20">
        <f>SUMPRODUCT(B20:F30)</f>
        <v>1009866</v>
      </c>
    </row>
    <row r="21" spans="1:10">
      <c r="A21" s="3">
        <v>101</v>
      </c>
      <c r="B21" s="4" t="s">
        <v>13</v>
      </c>
      <c r="C21" s="4" t="s">
        <v>25</v>
      </c>
      <c r="D21" s="4">
        <v>300</v>
      </c>
      <c r="E21" s="4">
        <v>12</v>
      </c>
      <c r="F21" s="4">
        <f t="shared" ref="F21:F30" si="0">D21*E21</f>
        <v>3600</v>
      </c>
      <c r="G21">
        <f t="shared" ref="G21:G30" si="1">SUM(D21:F21)</f>
        <v>3912</v>
      </c>
    </row>
    <row r="22" spans="1:10">
      <c r="A22" s="3">
        <v>102</v>
      </c>
      <c r="B22" s="4" t="s">
        <v>26</v>
      </c>
      <c r="C22" s="4" t="s">
        <v>27</v>
      </c>
      <c r="D22" s="4">
        <v>799</v>
      </c>
      <c r="E22" s="4">
        <v>100</v>
      </c>
      <c r="F22" s="4">
        <f t="shared" si="0"/>
        <v>79900</v>
      </c>
      <c r="G22">
        <f t="shared" si="1"/>
        <v>80799</v>
      </c>
    </row>
    <row r="23" spans="1:10">
      <c r="A23" s="3">
        <v>103</v>
      </c>
      <c r="B23" s="4" t="s">
        <v>28</v>
      </c>
      <c r="C23" s="4" t="s">
        <v>24</v>
      </c>
      <c r="D23" s="4">
        <v>1500</v>
      </c>
      <c r="E23" s="4">
        <v>10</v>
      </c>
      <c r="F23" s="4">
        <f t="shared" si="0"/>
        <v>15000</v>
      </c>
      <c r="G23">
        <f t="shared" si="1"/>
        <v>16510</v>
      </c>
    </row>
    <row r="24" spans="1:10">
      <c r="A24" s="3">
        <v>104</v>
      </c>
      <c r="B24" s="4" t="s">
        <v>9</v>
      </c>
      <c r="C24" s="4" t="s">
        <v>25</v>
      </c>
      <c r="D24" s="4">
        <v>450</v>
      </c>
      <c r="E24" s="4">
        <v>100</v>
      </c>
      <c r="F24" s="4">
        <f t="shared" si="0"/>
        <v>45000</v>
      </c>
      <c r="G24">
        <f t="shared" si="1"/>
        <v>45550</v>
      </c>
    </row>
    <row r="25" spans="1:10">
      <c r="A25" s="3">
        <v>105</v>
      </c>
      <c r="B25" s="4" t="s">
        <v>13</v>
      </c>
      <c r="C25" s="4" t="s">
        <v>27</v>
      </c>
      <c r="D25" s="4">
        <v>45999</v>
      </c>
      <c r="E25" s="4">
        <v>15</v>
      </c>
      <c r="F25" s="4">
        <f t="shared" si="0"/>
        <v>689985</v>
      </c>
      <c r="G25">
        <f t="shared" si="1"/>
        <v>735999</v>
      </c>
    </row>
    <row r="26" spans="1:10">
      <c r="A26" s="3">
        <v>106</v>
      </c>
      <c r="B26" s="4" t="s">
        <v>29</v>
      </c>
      <c r="C26" s="4" t="s">
        <v>30</v>
      </c>
      <c r="D26" s="4">
        <v>4500</v>
      </c>
      <c r="E26" s="4">
        <v>20</v>
      </c>
      <c r="F26" s="4">
        <f t="shared" si="0"/>
        <v>90000</v>
      </c>
      <c r="G26">
        <f t="shared" si="1"/>
        <v>94520</v>
      </c>
      <c r="H26">
        <f>SUBTOTAL(9,D20:E30)</f>
        <v>55577</v>
      </c>
      <c r="I26" t="s">
        <v>131</v>
      </c>
      <c r="J26" t="s">
        <v>133</v>
      </c>
    </row>
    <row r="27" spans="1:10">
      <c r="A27" s="3">
        <v>107</v>
      </c>
      <c r="B27" s="4" t="s">
        <v>9</v>
      </c>
      <c r="C27" s="4" t="s">
        <v>27</v>
      </c>
      <c r="D27" s="4">
        <v>199</v>
      </c>
      <c r="E27" s="4">
        <v>11</v>
      </c>
      <c r="F27" s="4">
        <f t="shared" si="0"/>
        <v>2189</v>
      </c>
      <c r="G27">
        <f t="shared" si="1"/>
        <v>2399</v>
      </c>
      <c r="H27">
        <f>SUBTOTAL(109,D20:E30)</f>
        <v>55577</v>
      </c>
      <c r="I27" t="s">
        <v>132</v>
      </c>
      <c r="J27" t="s">
        <v>134</v>
      </c>
    </row>
    <row r="28" spans="1:10">
      <c r="A28" s="3">
        <v>108</v>
      </c>
      <c r="B28" s="4" t="s">
        <v>13</v>
      </c>
      <c r="C28" s="4" t="s">
        <v>27</v>
      </c>
      <c r="D28" s="4">
        <v>399</v>
      </c>
      <c r="E28" s="4">
        <v>40</v>
      </c>
      <c r="F28" s="4">
        <f t="shared" si="0"/>
        <v>15960</v>
      </c>
      <c r="G28">
        <f t="shared" si="1"/>
        <v>16399</v>
      </c>
    </row>
    <row r="29" spans="1:10">
      <c r="A29" s="3">
        <v>109</v>
      </c>
      <c r="B29" s="4" t="s">
        <v>7</v>
      </c>
      <c r="C29" s="4" t="s">
        <v>30</v>
      </c>
      <c r="D29" s="4">
        <v>49</v>
      </c>
      <c r="E29" s="4">
        <v>34</v>
      </c>
      <c r="F29" s="4">
        <f t="shared" si="0"/>
        <v>1666</v>
      </c>
      <c r="G29">
        <f t="shared" si="1"/>
        <v>1749</v>
      </c>
    </row>
    <row r="30" spans="1:10">
      <c r="A30" s="3">
        <v>110</v>
      </c>
      <c r="B30" s="4" t="s">
        <v>9</v>
      </c>
      <c r="C30" s="4" t="s">
        <v>25</v>
      </c>
      <c r="D30" s="4">
        <v>799</v>
      </c>
      <c r="E30" s="4">
        <v>11</v>
      </c>
      <c r="F30" s="4">
        <f t="shared" si="0"/>
        <v>8789</v>
      </c>
      <c r="G30">
        <f t="shared" si="1"/>
        <v>9599</v>
      </c>
    </row>
    <row r="31" spans="1:10">
      <c r="A31" s="6"/>
      <c r="F31" s="42">
        <f>SUM(F20:F30)</f>
        <v>954289</v>
      </c>
      <c r="G31">
        <f>SUM(G20:G30)</f>
        <v>1009866</v>
      </c>
    </row>
    <row r="32" spans="1:10">
      <c r="A32" s="6"/>
    </row>
    <row r="33" spans="1:9">
      <c r="A33" s="6"/>
      <c r="D33" t="s">
        <v>32</v>
      </c>
      <c r="E33">
        <f>SUM(E20:E32)</f>
        <v>363</v>
      </c>
      <c r="F33">
        <f>SUM(F20:F32)</f>
        <v>1908578</v>
      </c>
    </row>
    <row r="34" spans="1:9">
      <c r="A34" s="6"/>
    </row>
    <row r="35" spans="1:9" ht="21">
      <c r="A35" s="6"/>
      <c r="D35" s="2" t="s">
        <v>33</v>
      </c>
      <c r="E35" s="4">
        <f>SUBTOTAL(109,E20:E30)</f>
        <v>363</v>
      </c>
      <c r="F35" s="4">
        <f>SUBTOTAL(109,F20:F30)</f>
        <v>954289</v>
      </c>
      <c r="H35" s="41" t="s">
        <v>137</v>
      </c>
      <c r="I35">
        <f>SUMPRODUCT(D20:D30,E20:E30)</f>
        <v>954289</v>
      </c>
    </row>
    <row r="38" spans="1:9">
      <c r="I38" t="s">
        <v>138</v>
      </c>
    </row>
    <row r="39" spans="1:9">
      <c r="B39" t="s">
        <v>139</v>
      </c>
      <c r="C39">
        <f>SUBTOTAL(9,D20:D30,E20:E30)</f>
        <v>55577</v>
      </c>
    </row>
    <row r="41" spans="1:9">
      <c r="B41" t="s">
        <v>140</v>
      </c>
      <c r="C41">
        <f>SUBTOTAL(109,D20:D30,E20:E30)</f>
        <v>55577</v>
      </c>
    </row>
  </sheetData>
  <dataValidations count="2">
    <dataValidation type="list" allowBlank="1" showInputMessage="1" showErrorMessage="1" sqref="H2" xr:uid="{00000000-0002-0000-0000-000000000000}">
      <formula1>$B$2:$B$12</formula1>
    </dataValidation>
    <dataValidation type="list" allowBlank="1" showInputMessage="1" showErrorMessage="1" sqref="I2" xr:uid="{00000000-0002-0000-0000-000001000000}">
      <formula1>$C$2:$C$12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3"/>
  <sheetViews>
    <sheetView workbookViewId="0">
      <selection activeCell="G9" sqref="G9"/>
    </sheetView>
  </sheetViews>
  <sheetFormatPr defaultRowHeight="14.4"/>
  <cols>
    <col min="1" max="1" width="24.109375" customWidth="1"/>
    <col min="4" max="4" width="20.88671875" customWidth="1"/>
    <col min="5" max="5" width="30.33203125" bestFit="1" customWidth="1"/>
    <col min="6" max="6" width="24.33203125" customWidth="1"/>
    <col min="7" max="7" width="21.6640625" style="25" customWidth="1"/>
    <col min="8" max="8" width="26.5546875" bestFit="1" customWidth="1"/>
  </cols>
  <sheetData>
    <row r="1" spans="1:8" ht="25.8">
      <c r="A1" s="46" t="s">
        <v>130</v>
      </c>
      <c r="B1" s="46"/>
      <c r="C1" s="46"/>
      <c r="D1" s="46"/>
      <c r="E1" s="46"/>
      <c r="F1" s="46"/>
      <c r="G1" s="46"/>
      <c r="H1" s="46"/>
    </row>
    <row r="2" spans="1:8" ht="23.25" customHeight="1">
      <c r="A2" s="45" t="s">
        <v>95</v>
      </c>
      <c r="B2" s="45"/>
      <c r="C2" s="45"/>
      <c r="D2" s="45"/>
    </row>
    <row r="3" spans="1:8" ht="18.75" customHeight="1">
      <c r="A3" s="34" t="s">
        <v>96</v>
      </c>
      <c r="B3" s="34" t="s">
        <v>4</v>
      </c>
      <c r="C3" s="34" t="s">
        <v>97</v>
      </c>
      <c r="D3" s="34" t="s">
        <v>98</v>
      </c>
      <c r="E3" s="36" t="s">
        <v>121</v>
      </c>
      <c r="F3" s="36" t="s">
        <v>123</v>
      </c>
      <c r="G3" s="37" t="s">
        <v>125</v>
      </c>
      <c r="H3" s="36" t="s">
        <v>129</v>
      </c>
    </row>
    <row r="4" spans="1:8">
      <c r="A4" s="32" t="s">
        <v>99</v>
      </c>
      <c r="B4" s="32">
        <v>10</v>
      </c>
      <c r="C4" s="32">
        <v>5</v>
      </c>
      <c r="D4" s="33">
        <v>0.05</v>
      </c>
      <c r="E4" s="38">
        <f>B4*C4</f>
        <v>50</v>
      </c>
      <c r="F4" s="38">
        <f>E4*D$4</f>
        <v>2.5</v>
      </c>
      <c r="G4" s="39">
        <f>E4*B$4</f>
        <v>500</v>
      </c>
      <c r="H4" s="38">
        <f>E4*CommissionRate</f>
        <v>2.5</v>
      </c>
    </row>
    <row r="5" spans="1:8">
      <c r="A5" s="32" t="s">
        <v>100</v>
      </c>
      <c r="B5" s="32">
        <v>8</v>
      </c>
      <c r="C5" s="32">
        <v>8</v>
      </c>
      <c r="D5" s="33">
        <v>0.06</v>
      </c>
      <c r="E5" s="38">
        <f>B5*C5</f>
        <v>64</v>
      </c>
      <c r="F5" s="38">
        <f>E5*D$4</f>
        <v>3.2</v>
      </c>
      <c r="G5" s="39">
        <f>E5*B$4</f>
        <v>640</v>
      </c>
      <c r="H5" s="38">
        <f>E5*CommissionRate</f>
        <v>3.84</v>
      </c>
    </row>
    <row r="6" spans="1:8">
      <c r="A6" s="32" t="s">
        <v>101</v>
      </c>
      <c r="B6" s="32">
        <v>4</v>
      </c>
      <c r="C6" s="32">
        <v>12</v>
      </c>
      <c r="D6" s="33">
        <v>0.05</v>
      </c>
      <c r="E6" s="38">
        <f>B6*C6</f>
        <v>48</v>
      </c>
      <c r="F6" s="38">
        <f>E6*D$4</f>
        <v>2.4000000000000004</v>
      </c>
      <c r="G6" s="39">
        <f>E6*B$4</f>
        <v>480</v>
      </c>
      <c r="H6" s="38">
        <f>E6*CommissionRate</f>
        <v>2.4000000000000004</v>
      </c>
    </row>
    <row r="7" spans="1:8" ht="43.2">
      <c r="A7" s="43" t="s">
        <v>102</v>
      </c>
      <c r="B7" s="43"/>
      <c r="C7" s="43"/>
      <c r="D7" s="43"/>
      <c r="E7" s="26" t="s">
        <v>122</v>
      </c>
      <c r="F7" s="25" t="s">
        <v>124</v>
      </c>
      <c r="G7" s="26" t="s">
        <v>105</v>
      </c>
      <c r="H7" s="25" t="s">
        <v>110</v>
      </c>
    </row>
    <row r="8" spans="1:8">
      <c r="A8" s="44" t="s">
        <v>103</v>
      </c>
      <c r="B8" s="44"/>
      <c r="C8" s="44"/>
      <c r="D8" s="44"/>
      <c r="E8" s="44"/>
      <c r="G8" s="25" t="s">
        <v>106</v>
      </c>
    </row>
    <row r="9" spans="1:8" ht="43.2">
      <c r="G9" s="27" t="s">
        <v>126</v>
      </c>
    </row>
    <row r="10" spans="1:8" ht="43.2">
      <c r="A10" s="14"/>
      <c r="G10" s="27" t="s">
        <v>127</v>
      </c>
    </row>
    <row r="11" spans="1:8">
      <c r="G11" s="25" t="s">
        <v>104</v>
      </c>
    </row>
    <row r="12" spans="1:8" ht="43.2">
      <c r="A12" s="12"/>
      <c r="G12" s="25" t="s">
        <v>107</v>
      </c>
    </row>
    <row r="13" spans="1:8" ht="57.6">
      <c r="G13" s="35" t="s">
        <v>128</v>
      </c>
    </row>
    <row r="17" spans="1:1">
      <c r="A17" s="9"/>
    </row>
    <row r="18" spans="1:1">
      <c r="A18" s="18"/>
    </row>
    <row r="19" spans="1:1">
      <c r="A19" s="18"/>
    </row>
    <row r="20" spans="1:1">
      <c r="A20" s="18"/>
    </row>
    <row r="21" spans="1:1">
      <c r="A21" s="11"/>
    </row>
    <row r="22" spans="1:1">
      <c r="A22" s="20"/>
    </row>
    <row r="23" spans="1:1">
      <c r="A23" s="11"/>
    </row>
    <row r="24" spans="1:1">
      <c r="A24" s="11"/>
    </row>
    <row r="28" spans="1:1" ht="23.4">
      <c r="A28" s="14"/>
    </row>
    <row r="30" spans="1:1">
      <c r="A30" s="12"/>
    </row>
    <row r="32" spans="1:1">
      <c r="A32" s="20"/>
    </row>
    <row r="33" spans="1:1">
      <c r="A33" s="20"/>
    </row>
    <row r="36" spans="1:1">
      <c r="A36" s="19"/>
    </row>
    <row r="40" spans="1:1" ht="23.4">
      <c r="A40" s="14" t="s">
        <v>108</v>
      </c>
    </row>
    <row r="42" spans="1:1">
      <c r="A42" s="12" t="s">
        <v>109</v>
      </c>
    </row>
    <row r="44" spans="1:1">
      <c r="A44" t="s">
        <v>104</v>
      </c>
    </row>
    <row r="45" spans="1:1">
      <c r="A45" s="11"/>
    </row>
    <row r="46" spans="1:1">
      <c r="A46" s="11" t="s">
        <v>110</v>
      </c>
    </row>
    <row r="47" spans="1:1">
      <c r="A47" s="11"/>
    </row>
    <row r="48" spans="1:1">
      <c r="A48" s="11" t="s">
        <v>111</v>
      </c>
    </row>
    <row r="49" spans="1:1">
      <c r="A49" s="9"/>
    </row>
    <row r="50" spans="1:1">
      <c r="A50" s="18" t="s">
        <v>73</v>
      </c>
    </row>
    <row r="51" spans="1:1">
      <c r="A51" s="18" t="s">
        <v>74</v>
      </c>
    </row>
    <row r="52" spans="1:1">
      <c r="A52" s="18" t="e">
        <f>#REF!*#REF!</f>
        <v>#REF!</v>
      </c>
    </row>
    <row r="54" spans="1:1">
      <c r="A54" t="s">
        <v>112</v>
      </c>
    </row>
    <row r="55" spans="1:1">
      <c r="A55" s="9"/>
    </row>
    <row r="56" spans="1:1">
      <c r="A56" s="18" t="s">
        <v>73</v>
      </c>
    </row>
    <row r="57" spans="1:1">
      <c r="A57" s="18" t="s">
        <v>74</v>
      </c>
    </row>
    <row r="58" spans="1:1">
      <c r="A58" s="18" t="e">
        <f>#REF!*CommissionRate</f>
        <v>#REF!</v>
      </c>
    </row>
    <row r="60" spans="1:1">
      <c r="A60" s="12" t="s">
        <v>113</v>
      </c>
    </row>
    <row r="61" spans="1:1">
      <c r="A61" s="11"/>
    </row>
    <row r="62" spans="1:1">
      <c r="A62" s="11" t="s">
        <v>114</v>
      </c>
    </row>
    <row r="63" spans="1:1">
      <c r="A63" s="11"/>
    </row>
    <row r="64" spans="1:1">
      <c r="A64" s="11" t="s">
        <v>115</v>
      </c>
    </row>
    <row r="65" spans="1:4">
      <c r="A65" s="11"/>
    </row>
    <row r="66" spans="1:4">
      <c r="A66" s="11" t="s">
        <v>116</v>
      </c>
    </row>
    <row r="70" spans="1:4" ht="18">
      <c r="A70" s="17" t="s">
        <v>117</v>
      </c>
    </row>
    <row r="72" spans="1:4">
      <c r="A72" s="15" t="s">
        <v>96</v>
      </c>
      <c r="B72" s="15" t="s">
        <v>4</v>
      </c>
      <c r="C72" s="15" t="s">
        <v>22</v>
      </c>
      <c r="D72" s="15" t="s">
        <v>98</v>
      </c>
    </row>
    <row r="73" spans="1:4">
      <c r="A73" s="16" t="s">
        <v>99</v>
      </c>
      <c r="B73" s="16">
        <v>10</v>
      </c>
      <c r="C73" s="16">
        <v>5</v>
      </c>
      <c r="D73" s="31">
        <v>0.05</v>
      </c>
    </row>
    <row r="74" spans="1:4">
      <c r="A74" s="16" t="s">
        <v>100</v>
      </c>
      <c r="B74" s="16">
        <v>8</v>
      </c>
      <c r="C74" s="16">
        <v>8</v>
      </c>
      <c r="D74" s="31">
        <v>0.05</v>
      </c>
    </row>
    <row r="75" spans="1:4">
      <c r="A75" s="16" t="s">
        <v>101</v>
      </c>
      <c r="B75" s="16">
        <v>4</v>
      </c>
      <c r="C75" s="16">
        <v>12</v>
      </c>
      <c r="D75" s="31">
        <v>0.05</v>
      </c>
    </row>
    <row r="76" spans="1:4">
      <c r="A76" s="11"/>
    </row>
    <row r="77" spans="1:4">
      <c r="A77" s="11" t="s">
        <v>118</v>
      </c>
    </row>
    <row r="78" spans="1:4">
      <c r="A78" s="20" t="e">
        <f>#REF!*#REF! → Relative</f>
        <v>#REF!</v>
      </c>
    </row>
    <row r="79" spans="1:4">
      <c r="A79" s="11"/>
    </row>
    <row r="80" spans="1:4">
      <c r="A80" s="11" t="s">
        <v>119</v>
      </c>
    </row>
    <row r="81" spans="1:1">
      <c r="A81" s="20" t="e">
        <f>#REF!*#REF! → Absolute</f>
        <v>#REF!</v>
      </c>
    </row>
    <row r="82" spans="1:1">
      <c r="A82" s="11" t="s">
        <v>120</v>
      </c>
    </row>
    <row r="83" spans="1:1">
      <c r="A83" s="20" t="e">
        <f>#REF!*CommissionRate → Named Range</f>
        <v>#REF!</v>
      </c>
    </row>
  </sheetData>
  <mergeCells count="4">
    <mergeCell ref="A7:D7"/>
    <mergeCell ref="A8:E8"/>
    <mergeCell ref="A2:D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workbookViewId="0">
      <selection activeCell="K11" sqref="K11"/>
    </sheetView>
  </sheetViews>
  <sheetFormatPr defaultRowHeight="14.4"/>
  <cols>
    <col min="1" max="1" width="11.6640625" bestFit="1" customWidth="1"/>
    <col min="2" max="2" width="18.44140625" bestFit="1" customWidth="1"/>
    <col min="3" max="3" width="16.88671875" bestFit="1" customWidth="1"/>
    <col min="4" max="4" width="5.88671875" bestFit="1" customWidth="1"/>
    <col min="5" max="5" width="7" bestFit="1" customWidth="1"/>
    <col min="7" max="7" width="18.44140625" bestFit="1" customWidth="1"/>
    <col min="8" max="8" width="15.5546875" bestFit="1" customWidth="1"/>
    <col min="9" max="9" width="18" bestFit="1" customWidth="1"/>
  </cols>
  <sheetData>
    <row r="1" spans="1:1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5" t="s">
        <v>42</v>
      </c>
      <c r="H1" s="5" t="s">
        <v>43</v>
      </c>
      <c r="I1" s="5" t="s">
        <v>44</v>
      </c>
      <c r="K1" s="7" t="s">
        <v>53</v>
      </c>
    </row>
    <row r="2" spans="1:11" ht="23.4">
      <c r="A2" s="3">
        <v>100</v>
      </c>
      <c r="B2" s="4" t="s">
        <v>5</v>
      </c>
      <c r="C2" s="4" t="s">
        <v>6</v>
      </c>
      <c r="D2" s="4">
        <v>10</v>
      </c>
      <c r="E2" s="4">
        <v>70</v>
      </c>
      <c r="K2" s="14" t="s">
        <v>42</v>
      </c>
    </row>
    <row r="3" spans="1:11">
      <c r="A3" s="3">
        <v>101</v>
      </c>
      <c r="B3" s="4" t="s">
        <v>7</v>
      </c>
      <c r="C3" s="4" t="s">
        <v>8</v>
      </c>
      <c r="D3" s="4" t="s">
        <v>41</v>
      </c>
      <c r="E3" s="4">
        <v>40</v>
      </c>
      <c r="K3" s="13" t="s">
        <v>55</v>
      </c>
    </row>
    <row r="4" spans="1:11">
      <c r="A4" s="3">
        <v>102</v>
      </c>
      <c r="B4" s="4" t="s">
        <v>9</v>
      </c>
      <c r="C4" s="4" t="s">
        <v>6</v>
      </c>
      <c r="D4" s="4">
        <v>5</v>
      </c>
      <c r="E4" s="4">
        <v>210</v>
      </c>
      <c r="K4" s="13" t="s">
        <v>56</v>
      </c>
    </row>
    <row r="5" spans="1:11">
      <c r="A5" s="3">
        <v>103</v>
      </c>
      <c r="B5" s="4" t="s">
        <v>10</v>
      </c>
      <c r="C5" s="4" t="s">
        <v>8</v>
      </c>
      <c r="D5" s="4">
        <v>5</v>
      </c>
      <c r="E5" s="4">
        <v>599</v>
      </c>
      <c r="K5" s="11"/>
    </row>
    <row r="6" spans="1:11" ht="23.4">
      <c r="A6" s="3">
        <v>104</v>
      </c>
      <c r="B6" s="4" t="s">
        <v>13</v>
      </c>
      <c r="C6" s="4" t="s">
        <v>12</v>
      </c>
      <c r="D6" s="4">
        <v>8</v>
      </c>
      <c r="E6" s="4">
        <v>1250</v>
      </c>
      <c r="K6" s="14" t="s">
        <v>43</v>
      </c>
    </row>
    <row r="7" spans="1:11">
      <c r="A7" s="3">
        <v>105</v>
      </c>
      <c r="B7" s="4" t="s">
        <v>13</v>
      </c>
      <c r="C7" s="4" t="s">
        <v>6</v>
      </c>
      <c r="D7" s="4"/>
      <c r="E7" s="4">
        <v>300</v>
      </c>
      <c r="K7" s="13" t="s">
        <v>57</v>
      </c>
    </row>
    <row r="8" spans="1:11">
      <c r="A8" s="3">
        <v>106</v>
      </c>
      <c r="B8" s="4" t="s">
        <v>13</v>
      </c>
      <c r="C8" s="4" t="s">
        <v>8</v>
      </c>
      <c r="D8" s="4">
        <v>50</v>
      </c>
      <c r="E8" s="4">
        <v>799</v>
      </c>
      <c r="K8" s="13" t="s">
        <v>58</v>
      </c>
    </row>
    <row r="9" spans="1:11">
      <c r="A9" s="3">
        <v>107</v>
      </c>
      <c r="B9" s="4" t="s">
        <v>9</v>
      </c>
      <c r="C9" s="4" t="s">
        <v>15</v>
      </c>
      <c r="D9" s="4">
        <v>10</v>
      </c>
      <c r="E9" s="4">
        <v>0</v>
      </c>
    </row>
    <row r="10" spans="1:11" ht="23.4">
      <c r="A10" s="3">
        <v>108</v>
      </c>
      <c r="B10" s="4" t="s">
        <v>13</v>
      </c>
      <c r="C10" s="4" t="s">
        <v>6</v>
      </c>
      <c r="D10" s="4">
        <v>5</v>
      </c>
      <c r="E10" s="4">
        <v>310</v>
      </c>
      <c r="K10" s="14" t="s">
        <v>44</v>
      </c>
    </row>
    <row r="11" spans="1:11">
      <c r="A11" s="3">
        <v>109</v>
      </c>
      <c r="B11" s="4" t="s">
        <v>11</v>
      </c>
      <c r="C11" s="4" t="s">
        <v>8</v>
      </c>
      <c r="D11" s="4">
        <v>12</v>
      </c>
      <c r="E11" s="4">
        <v>1500</v>
      </c>
      <c r="K11" s="13" t="s">
        <v>59</v>
      </c>
    </row>
    <row r="12" spans="1:11">
      <c r="A12" s="3">
        <v>110</v>
      </c>
      <c r="B12" s="4" t="s">
        <v>16</v>
      </c>
      <c r="C12" s="4" t="s">
        <v>17</v>
      </c>
      <c r="D12" s="4">
        <v>7</v>
      </c>
      <c r="E12" s="4"/>
      <c r="K12" s="13" t="s">
        <v>60</v>
      </c>
    </row>
    <row r="13" spans="1:11">
      <c r="A13" s="6"/>
      <c r="C13" s="4"/>
      <c r="K13" s="11"/>
    </row>
    <row r="14" spans="1:11">
      <c r="A14" s="6"/>
      <c r="C14" s="4"/>
    </row>
    <row r="15" spans="1:11">
      <c r="A15" s="6"/>
      <c r="C15" s="4"/>
      <c r="K15" s="11"/>
    </row>
    <row r="16" spans="1:11">
      <c r="A16" s="6"/>
      <c r="C16" s="4"/>
    </row>
    <row r="17" spans="1:8">
      <c r="A17" s="6"/>
      <c r="C17" s="4"/>
    </row>
    <row r="18" spans="1:8">
      <c r="A18" s="6"/>
      <c r="C18" s="4"/>
    </row>
    <row r="19" spans="1:8" ht="18">
      <c r="C19" s="2" t="s">
        <v>40</v>
      </c>
    </row>
    <row r="20" spans="1:8" ht="18">
      <c r="A20" s="1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G20" s="2" t="s">
        <v>1</v>
      </c>
      <c r="H20" s="2" t="s">
        <v>37</v>
      </c>
    </row>
    <row r="21" spans="1:8">
      <c r="A21" s="3">
        <v>100</v>
      </c>
      <c r="B21" s="4" t="s">
        <v>5</v>
      </c>
      <c r="C21" s="4" t="s">
        <v>6</v>
      </c>
      <c r="D21" s="4">
        <v>10</v>
      </c>
      <c r="E21" s="4">
        <v>70</v>
      </c>
      <c r="G21" s="4" t="s">
        <v>38</v>
      </c>
      <c r="H21" s="4">
        <f>COUNTIF(B21:B31,G21)</f>
        <v>4</v>
      </c>
    </row>
    <row r="22" spans="1:8">
      <c r="A22" s="3">
        <v>101</v>
      </c>
      <c r="B22" s="4" t="s">
        <v>7</v>
      </c>
      <c r="C22" s="4" t="s">
        <v>8</v>
      </c>
      <c r="D22" s="4">
        <v>12</v>
      </c>
      <c r="E22" s="4">
        <v>40</v>
      </c>
    </row>
    <row r="23" spans="1:8">
      <c r="A23" s="3">
        <v>102</v>
      </c>
      <c r="B23" s="4" t="s">
        <v>9</v>
      </c>
      <c r="C23" s="4" t="s">
        <v>6</v>
      </c>
      <c r="D23" s="4">
        <v>5</v>
      </c>
      <c r="E23" s="4">
        <v>210</v>
      </c>
    </row>
    <row r="24" spans="1:8" ht="18">
      <c r="A24" s="3">
        <v>103</v>
      </c>
      <c r="B24" s="4" t="s">
        <v>10</v>
      </c>
      <c r="C24" s="4" t="s">
        <v>8</v>
      </c>
      <c r="D24" s="4">
        <v>5</v>
      </c>
      <c r="E24" s="4">
        <v>599</v>
      </c>
      <c r="G24" s="2" t="s">
        <v>2</v>
      </c>
      <c r="H24" s="2" t="s">
        <v>37</v>
      </c>
    </row>
    <row r="25" spans="1:8">
      <c r="A25" s="3">
        <v>104</v>
      </c>
      <c r="B25" s="4" t="s">
        <v>13</v>
      </c>
      <c r="C25" s="4" t="s">
        <v>12</v>
      </c>
      <c r="D25" s="4">
        <v>8</v>
      </c>
      <c r="E25" s="4">
        <v>1250</v>
      </c>
      <c r="G25" s="4" t="s">
        <v>8</v>
      </c>
      <c r="H25" s="4">
        <f>COUNTIF(C21:C31,G25)</f>
        <v>4</v>
      </c>
    </row>
    <row r="26" spans="1:8">
      <c r="A26" s="3">
        <v>105</v>
      </c>
      <c r="B26" s="4" t="s">
        <v>13</v>
      </c>
      <c r="C26" s="4" t="s">
        <v>6</v>
      </c>
      <c r="D26" s="4">
        <v>20</v>
      </c>
      <c r="E26" s="4">
        <v>300</v>
      </c>
    </row>
    <row r="27" spans="1:8">
      <c r="A27" s="3">
        <v>106</v>
      </c>
      <c r="B27" s="4" t="s">
        <v>13</v>
      </c>
      <c r="C27" s="4" t="s">
        <v>8</v>
      </c>
      <c r="D27" s="4">
        <v>50</v>
      </c>
      <c r="E27" s="4">
        <v>799</v>
      </c>
    </row>
    <row r="28" spans="1:8">
      <c r="A28" s="3">
        <v>107</v>
      </c>
      <c r="B28" s="4" t="s">
        <v>9</v>
      </c>
      <c r="C28" s="4" t="s">
        <v>15</v>
      </c>
      <c r="D28" s="4">
        <v>10</v>
      </c>
      <c r="E28" s="4">
        <v>200</v>
      </c>
    </row>
    <row r="29" spans="1:8">
      <c r="A29" s="3">
        <v>108</v>
      </c>
      <c r="B29" s="4" t="s">
        <v>13</v>
      </c>
      <c r="C29" s="4" t="s">
        <v>6</v>
      </c>
      <c r="D29" s="4">
        <v>5</v>
      </c>
      <c r="E29" s="4">
        <v>310</v>
      </c>
    </row>
    <row r="30" spans="1:8">
      <c r="A30" s="3">
        <v>109</v>
      </c>
      <c r="B30" s="4" t="s">
        <v>11</v>
      </c>
      <c r="C30" s="4" t="s">
        <v>8</v>
      </c>
      <c r="D30" s="4">
        <v>12</v>
      </c>
      <c r="E30" s="4">
        <v>1500</v>
      </c>
    </row>
    <row r="31" spans="1:8">
      <c r="A31" s="3">
        <v>110</v>
      </c>
      <c r="B31" s="4" t="s">
        <v>16</v>
      </c>
      <c r="C31" s="4" t="s">
        <v>17</v>
      </c>
      <c r="D31" s="4">
        <v>7</v>
      </c>
      <c r="E31" s="4">
        <v>999</v>
      </c>
    </row>
    <row r="34" spans="1:9" ht="18">
      <c r="B34" s="2" t="s">
        <v>39</v>
      </c>
    </row>
    <row r="36" spans="1:9" ht="18">
      <c r="A36" s="1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G36" s="2" t="s">
        <v>1</v>
      </c>
      <c r="H36" s="2" t="s">
        <v>2</v>
      </c>
      <c r="I36" s="2" t="s">
        <v>37</v>
      </c>
    </row>
    <row r="37" spans="1:9">
      <c r="A37" s="3">
        <v>100</v>
      </c>
      <c r="B37" s="4" t="s">
        <v>5</v>
      </c>
      <c r="C37" s="4" t="s">
        <v>6</v>
      </c>
      <c r="D37" s="4">
        <v>10</v>
      </c>
      <c r="E37" s="4">
        <v>70</v>
      </c>
      <c r="G37" s="4" t="s">
        <v>9</v>
      </c>
      <c r="H37" s="4" t="s">
        <v>6</v>
      </c>
      <c r="I37" s="4">
        <f>COUNTIFS(B37:B47,G37,C37:C47,H37)</f>
        <v>1</v>
      </c>
    </row>
    <row r="38" spans="1:9">
      <c r="A38" s="3">
        <v>101</v>
      </c>
      <c r="B38" s="4" t="s">
        <v>7</v>
      </c>
      <c r="C38" s="4" t="s">
        <v>8</v>
      </c>
      <c r="D38" s="4">
        <v>12</v>
      </c>
      <c r="E38" s="4">
        <v>40</v>
      </c>
    </row>
    <row r="39" spans="1:9">
      <c r="A39" s="3">
        <v>102</v>
      </c>
      <c r="B39" s="4" t="s">
        <v>9</v>
      </c>
      <c r="C39" s="4" t="s">
        <v>6</v>
      </c>
      <c r="D39" s="4">
        <v>5</v>
      </c>
      <c r="E39" s="4">
        <v>210</v>
      </c>
    </row>
    <row r="40" spans="1:9">
      <c r="A40" s="3">
        <v>103</v>
      </c>
      <c r="B40" s="4" t="s">
        <v>10</v>
      </c>
      <c r="C40" s="4" t="s">
        <v>8</v>
      </c>
      <c r="D40" s="4">
        <v>5</v>
      </c>
      <c r="E40" s="4">
        <v>599</v>
      </c>
    </row>
    <row r="41" spans="1:9">
      <c r="A41" s="3">
        <v>104</v>
      </c>
      <c r="B41" s="4" t="s">
        <v>11</v>
      </c>
      <c r="C41" s="4" t="s">
        <v>12</v>
      </c>
      <c r="D41" s="4">
        <v>8</v>
      </c>
      <c r="E41" s="4">
        <v>1250</v>
      </c>
    </row>
    <row r="42" spans="1:9">
      <c r="A42" s="3">
        <v>105</v>
      </c>
      <c r="B42" s="4" t="s">
        <v>13</v>
      </c>
      <c r="C42" s="4" t="s">
        <v>6</v>
      </c>
      <c r="D42" s="4">
        <v>20</v>
      </c>
      <c r="E42" s="4">
        <v>300</v>
      </c>
    </row>
    <row r="43" spans="1:9">
      <c r="A43" s="3">
        <v>106</v>
      </c>
      <c r="B43" s="4" t="s">
        <v>14</v>
      </c>
      <c r="C43" s="4" t="s">
        <v>8</v>
      </c>
      <c r="D43" s="4">
        <v>50</v>
      </c>
      <c r="E43" s="4">
        <v>799</v>
      </c>
    </row>
    <row r="44" spans="1:9">
      <c r="A44" s="3">
        <v>107</v>
      </c>
      <c r="B44" s="4" t="s">
        <v>9</v>
      </c>
      <c r="C44" s="4" t="s">
        <v>15</v>
      </c>
      <c r="D44" s="4">
        <v>10</v>
      </c>
      <c r="E44" s="4">
        <v>200</v>
      </c>
    </row>
    <row r="45" spans="1:9">
      <c r="A45" s="3">
        <v>108</v>
      </c>
      <c r="B45" s="4" t="s">
        <v>13</v>
      </c>
      <c r="C45" s="4" t="s">
        <v>6</v>
      </c>
      <c r="D45" s="4">
        <v>5</v>
      </c>
      <c r="E45" s="4">
        <v>310</v>
      </c>
    </row>
    <row r="46" spans="1:9">
      <c r="A46" s="3">
        <v>109</v>
      </c>
      <c r="B46" s="4" t="s">
        <v>11</v>
      </c>
      <c r="C46" s="4" t="s">
        <v>8</v>
      </c>
      <c r="D46" s="4">
        <v>12</v>
      </c>
      <c r="E46" s="4">
        <v>1500</v>
      </c>
    </row>
    <row r="47" spans="1:9">
      <c r="A47" s="3">
        <v>110</v>
      </c>
      <c r="B47" s="4" t="s">
        <v>16</v>
      </c>
      <c r="C47" s="4" t="s">
        <v>17</v>
      </c>
      <c r="D47" s="4">
        <v>7</v>
      </c>
      <c r="E47" s="4">
        <v>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workbookViewId="0">
      <selection activeCell="G17" sqref="G17"/>
    </sheetView>
  </sheetViews>
  <sheetFormatPr defaultRowHeight="14.4"/>
  <cols>
    <col min="1" max="1" width="11.6640625" bestFit="1" customWidth="1"/>
    <col min="2" max="2" width="18.44140625" bestFit="1" customWidth="1"/>
    <col min="3" max="3" width="16.88671875" bestFit="1" customWidth="1"/>
    <col min="4" max="4" width="5.88671875" bestFit="1" customWidth="1"/>
    <col min="5" max="5" width="7" bestFit="1" customWidth="1"/>
    <col min="7" max="8" width="18.44140625" bestFit="1" customWidth="1"/>
    <col min="9" max="9" width="11" bestFit="1" customWidth="1"/>
    <col min="10" max="10" width="84.33203125" bestFit="1" customWidth="1"/>
  </cols>
  <sheetData>
    <row r="1" spans="1:10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5" t="s">
        <v>47</v>
      </c>
      <c r="H1" s="5" t="s">
        <v>48</v>
      </c>
      <c r="J1" s="5" t="s">
        <v>53</v>
      </c>
    </row>
    <row r="2" spans="1:10">
      <c r="A2" s="3">
        <v>100</v>
      </c>
      <c r="B2" s="4" t="s">
        <v>5</v>
      </c>
      <c r="C2" s="4" t="s">
        <v>6</v>
      </c>
      <c r="D2" s="4">
        <v>10</v>
      </c>
      <c r="E2" s="4">
        <v>70</v>
      </c>
      <c r="G2">
        <f>AVERAGE(E2:E12)</f>
        <v>517.79999999999995</v>
      </c>
      <c r="H2">
        <f>AVERAGEA(E2:E12)</f>
        <v>470.72727272727275</v>
      </c>
      <c r="J2" s="10" t="s">
        <v>50</v>
      </c>
    </row>
    <row r="3" spans="1:10">
      <c r="A3" s="3">
        <v>101</v>
      </c>
      <c r="B3" s="4" t="s">
        <v>7</v>
      </c>
      <c r="C3" s="4" t="s">
        <v>8</v>
      </c>
      <c r="D3" s="4">
        <v>12</v>
      </c>
      <c r="E3" s="4">
        <v>40</v>
      </c>
      <c r="J3" s="13" t="s">
        <v>51</v>
      </c>
    </row>
    <row r="4" spans="1:10">
      <c r="A4" s="3">
        <v>102</v>
      </c>
      <c r="B4" s="4" t="s">
        <v>9</v>
      </c>
      <c r="C4" s="4" t="s">
        <v>6</v>
      </c>
      <c r="D4" s="4">
        <v>5</v>
      </c>
      <c r="E4" s="4">
        <v>210</v>
      </c>
      <c r="J4" s="13" t="s">
        <v>52</v>
      </c>
    </row>
    <row r="5" spans="1:10">
      <c r="A5" s="3">
        <v>103</v>
      </c>
      <c r="B5" s="4" t="s">
        <v>9</v>
      </c>
      <c r="C5" s="4" t="s">
        <v>8</v>
      </c>
      <c r="D5" s="4">
        <v>5</v>
      </c>
      <c r="E5" s="4">
        <v>599</v>
      </c>
      <c r="J5" s="13"/>
    </row>
    <row r="6" spans="1:10">
      <c r="A6" s="3">
        <v>104</v>
      </c>
      <c r="B6" s="4" t="s">
        <v>9</v>
      </c>
      <c r="C6" s="4" t="s">
        <v>12</v>
      </c>
      <c r="D6" s="4"/>
      <c r="E6" s="4">
        <v>1250</v>
      </c>
      <c r="J6" s="13" t="s">
        <v>48</v>
      </c>
    </row>
    <row r="7" spans="1:10">
      <c r="A7" s="3">
        <v>105</v>
      </c>
      <c r="B7" s="4" t="s">
        <v>9</v>
      </c>
      <c r="C7" s="4" t="s">
        <v>6</v>
      </c>
      <c r="D7" s="4">
        <v>20</v>
      </c>
      <c r="E7" s="4" t="s">
        <v>49</v>
      </c>
      <c r="J7" s="12" t="s">
        <v>54</v>
      </c>
    </row>
    <row r="8" spans="1:10">
      <c r="A8" s="3">
        <v>106</v>
      </c>
      <c r="B8" s="4" t="s">
        <v>14</v>
      </c>
      <c r="C8" s="4" t="s">
        <v>8</v>
      </c>
      <c r="D8" s="4">
        <v>50</v>
      </c>
      <c r="E8" s="4">
        <v>0</v>
      </c>
    </row>
    <row r="9" spans="1:10">
      <c r="A9" s="3">
        <v>107</v>
      </c>
      <c r="B9" s="4" t="s">
        <v>9</v>
      </c>
      <c r="C9" s="4" t="s">
        <v>15</v>
      </c>
      <c r="D9" s="4">
        <v>10</v>
      </c>
      <c r="E9" s="4">
        <v>200</v>
      </c>
    </row>
    <row r="10" spans="1:10">
      <c r="A10" s="3">
        <v>108</v>
      </c>
      <c r="B10" s="4" t="s">
        <v>13</v>
      </c>
      <c r="C10" s="4" t="s">
        <v>6</v>
      </c>
      <c r="D10" s="4">
        <v>5</v>
      </c>
      <c r="E10" s="4">
        <v>310</v>
      </c>
    </row>
    <row r="11" spans="1:10">
      <c r="A11" s="3">
        <v>109</v>
      </c>
      <c r="B11" s="4" t="s">
        <v>11</v>
      </c>
      <c r="C11" s="4" t="s">
        <v>8</v>
      </c>
      <c r="D11" s="4">
        <v>12</v>
      </c>
      <c r="E11" s="4">
        <v>1500</v>
      </c>
    </row>
    <row r="12" spans="1:10">
      <c r="A12" s="3">
        <v>110</v>
      </c>
      <c r="B12" s="4" t="s">
        <v>16</v>
      </c>
      <c r="C12" s="4" t="s">
        <v>17</v>
      </c>
      <c r="D12" s="4">
        <v>7</v>
      </c>
      <c r="E12" s="4">
        <v>999</v>
      </c>
    </row>
    <row r="13" spans="1:10">
      <c r="D13">
        <f>COUNT(D2:D12)</f>
        <v>10</v>
      </c>
      <c r="E13">
        <f>SUM(E2:E12)</f>
        <v>5178</v>
      </c>
    </row>
    <row r="14" spans="1:10">
      <c r="E14">
        <f>E13/D13</f>
        <v>517.79999999999995</v>
      </c>
    </row>
    <row r="16" spans="1:10" ht="18">
      <c r="A16" s="1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G16" s="2" t="s">
        <v>1</v>
      </c>
      <c r="H16" s="2" t="s">
        <v>2</v>
      </c>
      <c r="I16" s="2" t="s">
        <v>45</v>
      </c>
      <c r="J16" s="8" t="s">
        <v>136</v>
      </c>
    </row>
    <row r="17" spans="1:9">
      <c r="A17" s="3">
        <v>100</v>
      </c>
      <c r="B17" s="4" t="s">
        <v>5</v>
      </c>
      <c r="C17" s="4" t="s">
        <v>6</v>
      </c>
      <c r="D17" s="4">
        <v>10</v>
      </c>
      <c r="E17" s="4">
        <v>70</v>
      </c>
      <c r="G17" s="4" t="s">
        <v>9</v>
      </c>
      <c r="H17" s="4" t="s">
        <v>6</v>
      </c>
      <c r="I17" s="4">
        <f>AVERAGEIFS(E17:E27,B17:B27,G17,C17:C27,H17)</f>
        <v>255</v>
      </c>
    </row>
    <row r="18" spans="1:9">
      <c r="A18" s="3">
        <v>101</v>
      </c>
      <c r="B18" s="4" t="s">
        <v>7</v>
      </c>
      <c r="C18" s="4" t="s">
        <v>8</v>
      </c>
      <c r="D18" s="4">
        <v>12</v>
      </c>
      <c r="E18" s="4">
        <v>40</v>
      </c>
    </row>
    <row r="19" spans="1:9">
      <c r="A19" s="3">
        <v>102</v>
      </c>
      <c r="B19" s="4" t="s">
        <v>9</v>
      </c>
      <c r="C19" s="4" t="s">
        <v>6</v>
      </c>
      <c r="D19" s="4">
        <v>5</v>
      </c>
      <c r="E19" s="4">
        <v>210</v>
      </c>
    </row>
    <row r="20" spans="1:9">
      <c r="A20" s="3">
        <v>103</v>
      </c>
      <c r="B20" s="4" t="s">
        <v>9</v>
      </c>
      <c r="C20" s="4" t="s">
        <v>8</v>
      </c>
      <c r="D20" s="4">
        <v>5</v>
      </c>
      <c r="E20" s="4">
        <v>599</v>
      </c>
    </row>
    <row r="21" spans="1:9">
      <c r="A21" s="3">
        <v>104</v>
      </c>
      <c r="B21" s="4" t="s">
        <v>9</v>
      </c>
      <c r="C21" s="4" t="s">
        <v>12</v>
      </c>
      <c r="D21" s="4">
        <v>8</v>
      </c>
      <c r="E21" s="4">
        <v>1250</v>
      </c>
    </row>
    <row r="22" spans="1:9">
      <c r="A22" s="3">
        <v>105</v>
      </c>
      <c r="B22" s="4" t="s">
        <v>9</v>
      </c>
      <c r="C22" s="4" t="s">
        <v>6</v>
      </c>
      <c r="D22" s="4">
        <v>20</v>
      </c>
      <c r="E22" s="4">
        <v>300</v>
      </c>
    </row>
    <row r="23" spans="1:9">
      <c r="A23" s="3">
        <v>106</v>
      </c>
      <c r="B23" s="4" t="s">
        <v>14</v>
      </c>
      <c r="C23" s="4" t="s">
        <v>8</v>
      </c>
      <c r="D23" s="4">
        <v>50</v>
      </c>
      <c r="E23" s="4">
        <v>799</v>
      </c>
    </row>
    <row r="24" spans="1:9">
      <c r="A24" s="3">
        <v>107</v>
      </c>
      <c r="B24" s="4" t="s">
        <v>9</v>
      </c>
      <c r="C24" s="4" t="s">
        <v>15</v>
      </c>
      <c r="D24" s="4">
        <v>10</v>
      </c>
      <c r="E24" s="4">
        <v>200</v>
      </c>
    </row>
    <row r="25" spans="1:9">
      <c r="A25" s="3">
        <v>108</v>
      </c>
      <c r="B25" s="4" t="s">
        <v>13</v>
      </c>
      <c r="C25" s="4" t="s">
        <v>6</v>
      </c>
      <c r="D25" s="4">
        <v>5</v>
      </c>
      <c r="E25" s="4">
        <v>310</v>
      </c>
    </row>
    <row r="26" spans="1:9">
      <c r="A26" s="3">
        <v>109</v>
      </c>
      <c r="B26" s="4" t="s">
        <v>11</v>
      </c>
      <c r="C26" s="4" t="s">
        <v>8</v>
      </c>
      <c r="D26" s="4">
        <v>12</v>
      </c>
      <c r="E26" s="4">
        <v>1500</v>
      </c>
    </row>
    <row r="27" spans="1:9">
      <c r="A27" s="3">
        <v>110</v>
      </c>
      <c r="B27" s="4" t="s">
        <v>16</v>
      </c>
      <c r="C27" s="4" t="s">
        <v>17</v>
      </c>
      <c r="D27" s="4">
        <v>7</v>
      </c>
      <c r="E27" s="4">
        <v>999</v>
      </c>
    </row>
    <row r="28" spans="1:9">
      <c r="A28" s="6"/>
    </row>
    <row r="29" spans="1:9">
      <c r="A29" s="6"/>
    </row>
    <row r="30" spans="1:9">
      <c r="A30" s="6"/>
    </row>
    <row r="31" spans="1:9">
      <c r="A31" s="6"/>
    </row>
    <row r="32" spans="1:9" ht="18">
      <c r="A32" s="1" t="s">
        <v>21</v>
      </c>
      <c r="B32" s="2" t="s">
        <v>1</v>
      </c>
      <c r="C32" s="2" t="s">
        <v>2</v>
      </c>
      <c r="D32" s="2" t="s">
        <v>3</v>
      </c>
      <c r="E32" s="2" t="s">
        <v>4</v>
      </c>
      <c r="G32" s="1" t="s">
        <v>21</v>
      </c>
      <c r="H32" s="2" t="s">
        <v>1</v>
      </c>
      <c r="I32" s="2" t="s">
        <v>3</v>
      </c>
    </row>
    <row r="33" spans="1:9">
      <c r="A33" s="3" t="s">
        <v>24</v>
      </c>
      <c r="B33" s="4" t="s">
        <v>5</v>
      </c>
      <c r="C33" s="4" t="s">
        <v>6</v>
      </c>
      <c r="D33" s="4">
        <v>10</v>
      </c>
      <c r="E33" s="4">
        <v>70</v>
      </c>
      <c r="G33" s="4"/>
      <c r="H33" s="4"/>
      <c r="I33" s="4"/>
    </row>
    <row r="34" spans="1:9">
      <c r="A34" s="3" t="s">
        <v>46</v>
      </c>
      <c r="B34" s="4" t="s">
        <v>7</v>
      </c>
      <c r="C34" s="4" t="s">
        <v>8</v>
      </c>
      <c r="D34" s="4">
        <v>12</v>
      </c>
      <c r="E34" s="4">
        <v>40</v>
      </c>
    </row>
    <row r="35" spans="1:9">
      <c r="A35" s="3" t="s">
        <v>27</v>
      </c>
      <c r="B35" s="4" t="s">
        <v>9</v>
      </c>
      <c r="C35" s="4" t="s">
        <v>6</v>
      </c>
      <c r="D35" s="4">
        <v>5</v>
      </c>
      <c r="E35" s="4">
        <v>210</v>
      </c>
    </row>
    <row r="36" spans="1:9">
      <c r="A36" s="3" t="s">
        <v>30</v>
      </c>
      <c r="B36" s="4" t="s">
        <v>10</v>
      </c>
      <c r="C36" s="4" t="s">
        <v>8</v>
      </c>
      <c r="D36" s="4">
        <v>5</v>
      </c>
      <c r="E36" s="4">
        <v>599</v>
      </c>
    </row>
    <row r="37" spans="1:9">
      <c r="A37" s="3" t="s">
        <v>24</v>
      </c>
      <c r="B37" s="4" t="s">
        <v>11</v>
      </c>
      <c r="C37" s="4" t="s">
        <v>12</v>
      </c>
      <c r="D37" s="4">
        <v>8</v>
      </c>
      <c r="E37" s="4">
        <v>1250</v>
      </c>
    </row>
    <row r="38" spans="1:9">
      <c r="A38" s="3" t="s">
        <v>46</v>
      </c>
      <c r="B38" s="4" t="s">
        <v>13</v>
      </c>
      <c r="C38" s="4" t="s">
        <v>6</v>
      </c>
      <c r="D38" s="4">
        <v>20</v>
      </c>
      <c r="E38" s="4">
        <v>300</v>
      </c>
    </row>
    <row r="39" spans="1:9">
      <c r="A39" s="3" t="s">
        <v>27</v>
      </c>
      <c r="B39" s="4" t="s">
        <v>14</v>
      </c>
      <c r="C39" s="4" t="s">
        <v>8</v>
      </c>
      <c r="D39" s="4">
        <v>50</v>
      </c>
      <c r="E39" s="4">
        <v>799</v>
      </c>
    </row>
    <row r="40" spans="1:9">
      <c r="A40" s="3" t="s">
        <v>30</v>
      </c>
      <c r="B40" s="4" t="s">
        <v>9</v>
      </c>
      <c r="C40" s="4" t="s">
        <v>15</v>
      </c>
      <c r="D40" s="4">
        <v>10</v>
      </c>
      <c r="E40" s="4">
        <v>200</v>
      </c>
    </row>
    <row r="41" spans="1:9">
      <c r="A41" s="3" t="s">
        <v>24</v>
      </c>
      <c r="B41" s="4" t="s">
        <v>13</v>
      </c>
      <c r="C41" s="4" t="s">
        <v>6</v>
      </c>
      <c r="D41" s="4">
        <v>5</v>
      </c>
      <c r="E41" s="4">
        <v>310</v>
      </c>
    </row>
    <row r="42" spans="1:9">
      <c r="A42" s="3" t="s">
        <v>46</v>
      </c>
      <c r="B42" s="4" t="s">
        <v>11</v>
      </c>
      <c r="C42" s="4" t="s">
        <v>8</v>
      </c>
      <c r="D42" s="4">
        <v>12</v>
      </c>
      <c r="E42" s="4">
        <v>1500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BB9D3C6-94BB-438F-B9BE-6A418E382605}">
          <x14:formula1>
            <xm:f>data_validtion!$C$4:$C$10</xm:f>
          </x14:formula1>
          <xm:sqref>G17</xm:sqref>
        </x14:dataValidation>
        <x14:dataValidation type="list" allowBlank="1" showInputMessage="1" showErrorMessage="1" xr:uid="{790996BD-E45A-41D5-A459-AF959A9D18FC}">
          <x14:formula1>
            <xm:f>data_validtion!$F$4:$F$8</xm:f>
          </x14:formula1>
          <xm:sqref>H17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9E0D-3F58-4DD8-B866-502DE0BFC789}">
  <dimension ref="C3:H41"/>
  <sheetViews>
    <sheetView tabSelected="1" topLeftCell="A25" workbookViewId="0">
      <selection activeCell="F44" sqref="F44"/>
    </sheetView>
  </sheetViews>
  <sheetFormatPr defaultRowHeight="14.4"/>
  <cols>
    <col min="4" max="4" width="7.6640625" bestFit="1" customWidth="1"/>
    <col min="5" max="5" width="11.44140625" bestFit="1" customWidth="1"/>
    <col min="6" max="6" width="17.88671875" bestFit="1" customWidth="1"/>
  </cols>
  <sheetData>
    <row r="3" spans="6:8">
      <c r="F3" t="s">
        <v>141</v>
      </c>
      <c r="H3">
        <f>AVERAGEA(F3:F10)</f>
        <v>16.875</v>
      </c>
    </row>
    <row r="4" spans="6:8">
      <c r="F4">
        <v>5</v>
      </c>
    </row>
    <row r="5" spans="6:8">
      <c r="F5">
        <v>7</v>
      </c>
    </row>
    <row r="6" spans="6:8">
      <c r="F6">
        <v>45</v>
      </c>
    </row>
    <row r="7" spans="6:8">
      <c r="F7" t="s">
        <v>142</v>
      </c>
    </row>
    <row r="8" spans="6:8">
      <c r="F8" t="s">
        <v>143</v>
      </c>
    </row>
    <row r="9" spans="6:8">
      <c r="F9">
        <v>78</v>
      </c>
    </row>
    <row r="10" spans="6:8">
      <c r="F10" t="s">
        <v>144</v>
      </c>
    </row>
    <row r="36" spans="3:6" ht="21">
      <c r="D36" s="47" t="s">
        <v>147</v>
      </c>
      <c r="E36" s="47" t="s">
        <v>145</v>
      </c>
      <c r="F36" s="47" t="s">
        <v>146</v>
      </c>
    </row>
    <row r="41" spans="3:6">
      <c r="C41" t="e" cm="1">
        <f t="array" ref="C41">ifs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DA53-3B71-400C-8041-6C5E4B4EF7F5}">
  <dimension ref="C4:F10"/>
  <sheetViews>
    <sheetView workbookViewId="0">
      <selection activeCell="F4" sqref="F4"/>
    </sheetView>
  </sheetViews>
  <sheetFormatPr defaultRowHeight="14.4"/>
  <sheetData>
    <row r="4" spans="3:6">
      <c r="C4" s="4" t="s">
        <v>5</v>
      </c>
      <c r="F4" s="4" t="s">
        <v>6</v>
      </c>
    </row>
    <row r="5" spans="3:6">
      <c r="C5" s="4" t="s">
        <v>7</v>
      </c>
      <c r="F5" s="4" t="s">
        <v>8</v>
      </c>
    </row>
    <row r="6" spans="3:6">
      <c r="C6" s="4" t="s">
        <v>9</v>
      </c>
      <c r="F6" s="4" t="s">
        <v>12</v>
      </c>
    </row>
    <row r="7" spans="3:6">
      <c r="C7" s="4" t="s">
        <v>14</v>
      </c>
      <c r="F7" s="4" t="s">
        <v>15</v>
      </c>
    </row>
    <row r="8" spans="3:6">
      <c r="C8" s="4" t="s">
        <v>13</v>
      </c>
      <c r="F8" s="4" t="s">
        <v>17</v>
      </c>
    </row>
    <row r="9" spans="3:6">
      <c r="C9" s="4" t="s">
        <v>11</v>
      </c>
    </row>
    <row r="10" spans="3:6">
      <c r="C10" s="4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"/>
  <sheetViews>
    <sheetView workbookViewId="0">
      <pane xSplit="2" topLeftCell="G1" activePane="topRight" state="frozen"/>
      <selection pane="topRight" activeCell="B9" sqref="B9"/>
    </sheetView>
  </sheetViews>
  <sheetFormatPr defaultColWidth="9.109375" defaultRowHeight="14.4"/>
  <cols>
    <col min="1" max="1" width="31.33203125" customWidth="1"/>
    <col min="2" max="2" width="12.109375" style="6" bestFit="1" customWidth="1"/>
    <col min="5" max="5" width="32.6640625" bestFit="1" customWidth="1"/>
    <col min="6" max="6" width="32.88671875" bestFit="1" customWidth="1"/>
    <col min="7" max="7" width="8.44140625" bestFit="1" customWidth="1"/>
    <col min="8" max="8" width="34.109375" bestFit="1" customWidth="1"/>
    <col min="9" max="9" width="42.6640625" bestFit="1" customWidth="1"/>
  </cols>
  <sheetData>
    <row r="1" spans="1:9" ht="18">
      <c r="A1" s="28" t="s">
        <v>61</v>
      </c>
      <c r="B1" s="29" t="s">
        <v>62</v>
      </c>
      <c r="E1" s="17" t="s">
        <v>89</v>
      </c>
      <c r="F1" s="17" t="s">
        <v>90</v>
      </c>
      <c r="H1" s="17" t="s">
        <v>91</v>
      </c>
      <c r="I1" s="17" t="s">
        <v>93</v>
      </c>
    </row>
    <row r="2" spans="1:9">
      <c r="A2" s="9" t="s">
        <v>63</v>
      </c>
      <c r="B2" s="21">
        <v>0</v>
      </c>
      <c r="E2" t="s">
        <v>72</v>
      </c>
      <c r="F2" t="s">
        <v>72</v>
      </c>
      <c r="H2" t="s">
        <v>72</v>
      </c>
      <c r="I2" t="s">
        <v>72</v>
      </c>
    </row>
    <row r="3" spans="1:9">
      <c r="A3" s="9" t="s">
        <v>64</v>
      </c>
      <c r="B3" s="21">
        <v>-3</v>
      </c>
      <c r="E3" s="30">
        <f>MIN(B1:B7)</f>
        <v>-3</v>
      </c>
      <c r="F3" s="30">
        <f>MINA(B1:B7)</f>
        <v>-3</v>
      </c>
      <c r="H3" s="30">
        <f>MAX(B2:B8)</f>
        <v>0</v>
      </c>
      <c r="I3" s="30">
        <f>MAXA(B2:B8)</f>
        <v>1</v>
      </c>
    </row>
    <row r="4" spans="1:9">
      <c r="A4" s="9" t="s">
        <v>65</v>
      </c>
      <c r="B4" s="21" t="b">
        <v>1</v>
      </c>
      <c r="E4" s="12" t="s">
        <v>75</v>
      </c>
      <c r="F4" s="12" t="s">
        <v>79</v>
      </c>
    </row>
    <row r="5" spans="1:9">
      <c r="A5" s="9" t="s">
        <v>66</v>
      </c>
      <c r="B5" s="21" t="b">
        <v>0</v>
      </c>
      <c r="E5" s="21" t="s">
        <v>76</v>
      </c>
      <c r="F5" s="21" t="s">
        <v>80</v>
      </c>
      <c r="H5" s="12" t="s">
        <v>75</v>
      </c>
      <c r="I5" s="12" t="s">
        <v>79</v>
      </c>
    </row>
    <row r="6" spans="1:9">
      <c r="A6" s="9" t="s">
        <v>67</v>
      </c>
      <c r="B6" s="21" t="s">
        <v>68</v>
      </c>
      <c r="E6" s="21" t="s">
        <v>77</v>
      </c>
      <c r="F6" s="21" t="s">
        <v>81</v>
      </c>
      <c r="H6" s="11" t="s">
        <v>76</v>
      </c>
      <c r="I6" s="11" t="s">
        <v>80</v>
      </c>
    </row>
    <row r="7" spans="1:9">
      <c r="A7" s="9" t="s">
        <v>69</v>
      </c>
      <c r="B7" s="21" t="s">
        <v>70</v>
      </c>
      <c r="E7" s="22" t="s">
        <v>78</v>
      </c>
      <c r="F7" s="21" t="s">
        <v>82</v>
      </c>
      <c r="H7" s="11" t="s">
        <v>77</v>
      </c>
      <c r="I7" s="11" t="s">
        <v>81</v>
      </c>
    </row>
    <row r="8" spans="1:9">
      <c r="A8" s="9" t="s">
        <v>71</v>
      </c>
      <c r="B8" s="21">
        <v>-8</v>
      </c>
      <c r="F8" s="21" t="s">
        <v>83</v>
      </c>
      <c r="H8" s="13" t="s">
        <v>92</v>
      </c>
      <c r="I8" s="11" t="s">
        <v>82</v>
      </c>
    </row>
    <row r="9" spans="1:9">
      <c r="F9" s="21" t="s">
        <v>84</v>
      </c>
      <c r="I9" s="11" t="s">
        <v>83</v>
      </c>
    </row>
    <row r="10" spans="1:9">
      <c r="F10" s="21" t="s">
        <v>85</v>
      </c>
      <c r="I10" s="11" t="s">
        <v>84</v>
      </c>
    </row>
    <row r="11" spans="1:9">
      <c r="F11" s="21" t="s">
        <v>86</v>
      </c>
      <c r="I11" s="11" t="s">
        <v>85</v>
      </c>
    </row>
    <row r="12" spans="1:9">
      <c r="F12" t="s">
        <v>87</v>
      </c>
      <c r="I12" s="11" t="s">
        <v>86</v>
      </c>
    </row>
    <row r="13" spans="1:9">
      <c r="F13" s="22" t="s">
        <v>88</v>
      </c>
      <c r="I13" t="s">
        <v>87</v>
      </c>
    </row>
    <row r="14" spans="1:9">
      <c r="I14" s="13" t="s">
        <v>94</v>
      </c>
    </row>
    <row r="37" spans="1:1" ht="18">
      <c r="A37" s="17"/>
    </row>
    <row r="40" spans="1:1">
      <c r="A40" s="21"/>
    </row>
    <row r="41" spans="1:1">
      <c r="A41" s="23"/>
    </row>
    <row r="42" spans="1:1">
      <c r="A42" s="21"/>
    </row>
    <row r="43" spans="1:1">
      <c r="A43" s="23"/>
    </row>
    <row r="44" spans="1:1">
      <c r="A44" s="21"/>
    </row>
    <row r="45" spans="1:1">
      <c r="A45" s="21"/>
    </row>
    <row r="48" spans="1:1">
      <c r="A48" s="21"/>
    </row>
    <row r="49" spans="1:1">
      <c r="A49" s="24"/>
    </row>
    <row r="50" spans="1:1">
      <c r="A50" s="21"/>
    </row>
    <row r="51" spans="1:1">
      <c r="A5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Sum</vt:lpstr>
      <vt:lpstr>Sheet6</vt:lpstr>
      <vt:lpstr>Count</vt:lpstr>
      <vt:lpstr>Average</vt:lpstr>
      <vt:lpstr>Sheet2</vt:lpstr>
      <vt:lpstr>data_validtion</vt:lpstr>
      <vt:lpstr>Min-Max</vt:lpstr>
      <vt:lpstr>CommissionRate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Siddhesh Mestry</cp:lastModifiedBy>
  <cp:lastPrinted>2025-08-14T14:01:18Z</cp:lastPrinted>
  <dcterms:created xsi:type="dcterms:W3CDTF">2025-08-13T04:20:43Z</dcterms:created>
  <dcterms:modified xsi:type="dcterms:W3CDTF">2025-08-18T15:20:07Z</dcterms:modified>
</cp:coreProperties>
</file>