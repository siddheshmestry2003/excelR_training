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ed44275cf0b764b/Desktop/ExcelR/advance excel/pracitce/day3-4/"/>
    </mc:Choice>
  </mc:AlternateContent>
  <xr:revisionPtr revIDLastSave="64" documentId="11_6757E4AC91F6E9F4D9DF9F90E22D62B1803CBC90" xr6:coauthVersionLast="47" xr6:coauthVersionMax="47" xr10:uidLastSave="{2288F9EA-24B5-418E-A52A-D14357C117FF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34" i="1" l="1" a="1"/>
  <c r="P34" i="1" s="1"/>
  <c r="O34" i="1" a="1"/>
  <c r="O34" i="1" s="1"/>
  <c r="N34" i="1"/>
  <c r="P36" i="1"/>
  <c r="N32" i="1"/>
  <c r="P32" i="1"/>
  <c r="P30" i="1"/>
  <c r="P28" i="1"/>
  <c r="P26" i="1"/>
  <c r="N24" i="1"/>
  <c r="P24" i="1"/>
  <c r="P22" i="1"/>
  <c r="N30" i="1"/>
  <c r="N26" i="1"/>
  <c r="N22" i="1"/>
  <c r="J13" i="1"/>
  <c r="J11" i="1"/>
  <c r="J17" i="1"/>
  <c r="J15" i="1"/>
  <c r="J9" i="1"/>
  <c r="J5" i="1"/>
  <c r="J7" i="1"/>
  <c r="J3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1">
    <bk>
      <extLst>
        <ext uri="{3e2802c4-a4d2-4d8b-9148-e3be6c30e623}">
          <xlrd:rvb i="0"/>
        </ext>
      </extLst>
    </bk>
  </futureMetadata>
  <cellMetadata count="1">
    <bk>
      <rc t="1" v="0"/>
    </bk>
  </cellMetadata>
  <valueMetadata count="1">
    <bk>
      <rc t="2" v="0"/>
    </bk>
  </valueMetadata>
</metadata>
</file>

<file path=xl/sharedStrings.xml><?xml version="1.0" encoding="utf-8"?>
<sst xmlns="http://schemas.openxmlformats.org/spreadsheetml/2006/main" count="51" uniqueCount="43">
  <si>
    <t>Name</t>
  </si>
  <si>
    <t>Department</t>
  </si>
  <si>
    <t>Age</t>
  </si>
  <si>
    <t>Salary</t>
  </si>
  <si>
    <t>Bonus</t>
  </si>
  <si>
    <t>Sales</t>
  </si>
  <si>
    <t>Alice</t>
  </si>
  <si>
    <t>Bob</t>
  </si>
  <si>
    <t>Charlie</t>
  </si>
  <si>
    <t>David</t>
  </si>
  <si>
    <t>Eva</t>
  </si>
  <si>
    <t>Frank</t>
  </si>
  <si>
    <t>Grace</t>
  </si>
  <si>
    <t>Hank</t>
  </si>
  <si>
    <t>Ivy</t>
  </si>
  <si>
    <t>Jack</t>
  </si>
  <si>
    <t>HR</t>
  </si>
  <si>
    <t>Finance</t>
  </si>
  <si>
    <t>IT</t>
  </si>
  <si>
    <r>
      <t>COUNT</t>
    </r>
    <r>
      <rPr>
        <sz val="11"/>
        <color theme="1"/>
        <rFont val="Calibri"/>
        <family val="2"/>
        <scheme val="minor"/>
      </rPr>
      <t xml:space="preserve"> – Find how many entries are in the </t>
    </r>
    <r>
      <rPr>
        <sz val="10"/>
        <color theme="1"/>
        <rFont val="Arial Unicode MS"/>
      </rPr>
      <t>Age</t>
    </r>
    <r>
      <rPr>
        <sz val="11"/>
        <color theme="1"/>
        <rFont val="Calibri"/>
        <family val="2"/>
        <scheme val="minor"/>
      </rPr>
      <t xml:space="preserve"> column.</t>
    </r>
  </si>
  <si>
    <r>
      <t>COUNTA</t>
    </r>
    <r>
      <rPr>
        <sz val="11"/>
        <color theme="1"/>
        <rFont val="Calibri"/>
        <family val="2"/>
        <scheme val="minor"/>
      </rPr>
      <t xml:space="preserve"> – Count all non-empty cells in the </t>
    </r>
    <r>
      <rPr>
        <sz val="10"/>
        <color theme="1"/>
        <rFont val="Arial Unicode MS"/>
      </rPr>
      <t>Department</t>
    </r>
    <r>
      <rPr>
        <sz val="11"/>
        <color theme="1"/>
        <rFont val="Calibri"/>
        <family val="2"/>
        <scheme val="minor"/>
      </rPr>
      <t xml:space="preserve"> column.</t>
    </r>
  </si>
  <si>
    <r>
      <t>COUNTBLANK</t>
    </r>
    <r>
      <rPr>
        <sz val="11"/>
        <color theme="1"/>
        <rFont val="Calibri"/>
        <family val="2"/>
        <scheme val="minor"/>
      </rPr>
      <t xml:space="preserve"> – Find how many blank cells are in the </t>
    </r>
    <r>
      <rPr>
        <sz val="10"/>
        <color theme="1"/>
        <rFont val="Arial Unicode MS"/>
      </rPr>
      <t>Salary</t>
    </r>
    <r>
      <rPr>
        <sz val="11"/>
        <color theme="1"/>
        <rFont val="Calibri"/>
        <family val="2"/>
        <scheme val="minor"/>
      </rPr>
      <t xml:space="preserve"> column.</t>
    </r>
  </si>
  <si>
    <r>
      <t>SUM</t>
    </r>
    <r>
      <rPr>
        <sz val="11"/>
        <color theme="1"/>
        <rFont val="Calibri"/>
        <family val="2"/>
        <scheme val="minor"/>
      </rPr>
      <t xml:space="preserve"> – Calculate the total salary of all employees.</t>
    </r>
  </si>
  <si>
    <r>
      <t>SUMIF</t>
    </r>
    <r>
      <rPr>
        <sz val="11"/>
        <color theme="1"/>
        <rFont val="Calibri"/>
        <family val="2"/>
        <scheme val="minor"/>
      </rPr>
      <t xml:space="preserve"> – Calculate the total salary of employees in the </t>
    </r>
    <r>
      <rPr>
        <b/>
        <sz val="11"/>
        <color theme="1"/>
        <rFont val="Calibri"/>
        <family val="2"/>
        <scheme val="minor"/>
      </rPr>
      <t>IT</t>
    </r>
    <r>
      <rPr>
        <sz val="11"/>
        <color theme="1"/>
        <rFont val="Calibri"/>
        <family val="2"/>
        <scheme val="minor"/>
      </rPr>
      <t xml:space="preserve"> department.</t>
    </r>
  </si>
  <si>
    <r>
      <t>SUMIF</t>
    </r>
    <r>
      <rPr>
        <sz val="11"/>
        <color theme="1"/>
        <rFont val="Calibri"/>
        <family val="2"/>
        <scheme val="minor"/>
      </rPr>
      <t xml:space="preserve"> – Calculate total sales where </t>
    </r>
    <r>
      <rPr>
        <sz val="10"/>
        <color theme="1"/>
        <rFont val="Arial Unicode MS"/>
      </rPr>
      <t>Sales &gt; 100</t>
    </r>
    <r>
      <rPr>
        <sz val="11"/>
        <color theme="1"/>
        <rFont val="Calibri"/>
        <family val="2"/>
        <scheme val="minor"/>
      </rPr>
      <t>.</t>
    </r>
  </si>
  <si>
    <r>
      <t>SUMIFS</t>
    </r>
    <r>
      <rPr>
        <sz val="11"/>
        <color theme="1"/>
        <rFont val="Calibri"/>
        <family val="2"/>
        <scheme val="minor"/>
      </rPr>
      <t xml:space="preserve"> – Find the total bonus for employees in </t>
    </r>
    <r>
      <rPr>
        <b/>
        <sz val="11"/>
        <color theme="1"/>
        <rFont val="Calibri"/>
        <family val="2"/>
        <scheme val="minor"/>
      </rPr>
      <t>Finance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Sales &gt; 100</t>
    </r>
    <r>
      <rPr>
        <sz val="11"/>
        <color theme="1"/>
        <rFont val="Calibri"/>
        <family val="2"/>
        <scheme val="minor"/>
      </rPr>
      <t>.</t>
    </r>
  </si>
  <si>
    <r>
      <t>SUMIFS</t>
    </r>
    <r>
      <rPr>
        <sz val="11"/>
        <color theme="1"/>
        <rFont val="Calibri"/>
        <family val="2"/>
        <scheme val="minor"/>
      </rPr>
      <t xml:space="preserve"> – Find the total salary for employees in </t>
    </r>
    <r>
      <rPr>
        <b/>
        <sz val="11"/>
        <color theme="1"/>
        <rFont val="Calibri"/>
        <family val="2"/>
        <scheme val="minor"/>
      </rPr>
      <t>HR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Age &gt; 28</t>
    </r>
    <r>
      <rPr>
        <sz val="11"/>
        <color theme="1"/>
        <rFont val="Calibri"/>
        <family val="2"/>
        <scheme val="minor"/>
      </rPr>
      <t>.</t>
    </r>
  </si>
  <si>
    <r>
      <t>1. COUNT Age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7</t>
    </r>
  </si>
  <si>
    <r>
      <t>2. COUNTA Department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</t>
    </r>
  </si>
  <si>
    <r>
      <t>3. COUNTBLANK Salary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</t>
    </r>
  </si>
  <si>
    <r>
      <t>4. SUM Salary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491,000</t>
    </r>
  </si>
  <si>
    <r>
      <t>5. SUMIF IT Salary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258,000</t>
    </r>
  </si>
  <si>
    <r>
      <t>6. SUMIF Sales &gt; 100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1,149</t>
    </r>
  </si>
  <si>
    <r>
      <t>7. SUMIFS Bonus Finance Sales &gt; 100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4,000</t>
    </r>
  </si>
  <si>
    <r>
      <t>8. SUMIFS Salary HR Age &gt; 28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65,000</t>
    </r>
    <r>
      <rPr>
        <sz val="11"/>
        <color theme="1"/>
        <rFont val="Calibri"/>
        <family val="2"/>
        <scheme val="minor"/>
      </rPr>
      <t xml:space="preserve"> 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</si>
  <si>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average salary</t>
    </r>
    <r>
      <rPr>
        <sz val="11"/>
        <color theme="1"/>
        <rFont val="Calibri"/>
        <family val="2"/>
        <scheme val="minor"/>
      </rPr>
      <t xml:space="preserve"> of employees in the IT department whose Sales are above 120.</t>
    </r>
  </si>
  <si>
    <r>
      <t xml:space="preserve">Count how many employees have </t>
    </r>
    <r>
      <rPr>
        <b/>
        <sz val="11"/>
        <color theme="1"/>
        <rFont val="Calibri"/>
        <family val="2"/>
        <scheme val="minor"/>
      </rPr>
      <t>no bonus</t>
    </r>
    <r>
      <rPr>
        <sz val="11"/>
        <color theme="1"/>
        <rFont val="Calibri"/>
        <family val="2"/>
        <scheme val="minor"/>
      </rPr>
      <t xml:space="preserve"> but have Sales above 150.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</si>
  <si>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highest Sales</t>
    </r>
    <r>
      <rPr>
        <sz val="11"/>
        <color theme="1"/>
        <rFont val="Calibri"/>
        <family val="2"/>
        <scheme val="minor"/>
      </rPr>
      <t xml:space="preserve"> made by any HR employee aged 30 or below.</t>
    </r>
  </si>
  <si>
    <r>
      <t xml:space="preserve">Calculate the </t>
    </r>
    <r>
      <rPr>
        <b/>
        <sz val="11"/>
        <color theme="1"/>
        <rFont val="Calibri"/>
        <family val="2"/>
        <scheme val="minor"/>
      </rPr>
      <t>total bonus</t>
    </r>
    <r>
      <rPr>
        <sz val="11"/>
        <color theme="1"/>
        <rFont val="Calibri"/>
        <family val="2"/>
        <scheme val="minor"/>
      </rPr>
      <t xml:space="preserve"> for employees whose Salary is greater than 60,000 and Age is not blank.</t>
    </r>
  </si>
  <si>
    <r>
      <t xml:space="preserve">Count how many employees in the Finance department have an </t>
    </r>
    <r>
      <rPr>
        <b/>
        <sz val="11"/>
        <color theme="1"/>
        <rFont val="Calibri"/>
        <family val="2"/>
        <scheme val="minor"/>
      </rPr>
      <t>Age less than the average Age</t>
    </r>
    <r>
      <rPr>
        <sz val="11"/>
        <color theme="1"/>
        <rFont val="Calibri"/>
        <family val="2"/>
        <scheme val="minor"/>
      </rPr>
      <t xml:space="preserve"> of all employees.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</si>
  <si>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sum of Sales</t>
    </r>
    <r>
      <rPr>
        <sz val="11"/>
        <color theme="1"/>
        <rFont val="Calibri"/>
        <family val="2"/>
        <scheme val="minor"/>
      </rPr>
      <t xml:space="preserve"> for employees who have a Bonus but no Salary recorded.</t>
    </r>
  </si>
  <si>
    <r>
      <t xml:space="preserve">Calculate the </t>
    </r>
    <r>
      <rPr>
        <b/>
        <sz val="11"/>
        <color theme="1"/>
        <rFont val="Calibri"/>
        <family val="2"/>
        <scheme val="minor"/>
      </rPr>
      <t>average Age</t>
    </r>
    <r>
      <rPr>
        <sz val="11"/>
        <color theme="1"/>
        <rFont val="Calibri"/>
        <family val="2"/>
        <scheme val="minor"/>
      </rPr>
      <t xml:space="preserve"> of employees whose Department is either HR or IT and whose Sales are less than 100.</t>
    </r>
  </si>
  <si>
    <r>
      <t xml:space="preserve">Find the </t>
    </r>
    <r>
      <rPr>
        <b/>
        <sz val="11"/>
        <color theme="1"/>
        <rFont val="Calibri"/>
        <family val="2"/>
        <scheme val="minor"/>
      </rPr>
      <t>total Salary</t>
    </r>
    <r>
      <rPr>
        <sz val="11"/>
        <color theme="1"/>
        <rFont val="Calibri"/>
        <family val="2"/>
        <scheme val="minor"/>
      </rPr>
      <t xml:space="preserve"> for employees whose name starts with the letter “A” or “E” and Sales are above 100.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</si>
</sst>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Types" Target="richData/rdRichValueTypes.xml"/><Relationship Id="rId3" Type="http://schemas.openxmlformats.org/officeDocument/2006/relationships/styles" Target="styles.xml"/><Relationship Id="rId7" Type="http://schemas.microsoft.com/office/2017/06/relationships/rdRichValueStructure" Target="richData/rdrichvaluestructure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06/relationships/rdRichValue" Target="richData/rdrichvalue.xml"/><Relationship Id="rId5" Type="http://schemas.openxmlformats.org/officeDocument/2006/relationships/sheetMetadata" Target="metadata.xml"/><Relationship Id="rId10" Type="http://schemas.openxmlformats.org/officeDocument/2006/relationships/calcChain" Target="calcChain.xml"/><Relationship Id="rId4" Type="http://schemas.openxmlformats.org/officeDocument/2006/relationships/sharedStrings" Target="sharedStrings.xml"/><Relationship Id="rId9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1</v>
    <v>8</v>
    <v>0</v>
    <v>1</v>
  </rv>
</rvData>
</file>

<file path=xl/richData/rdrichvaluestructure.xml><?xml version="1.0" encoding="utf-8"?>
<rvStructures xmlns="http://schemas.microsoft.com/office/spreadsheetml/2017/richdata" count="1">
  <s t="_error">
    <k n="colOffset" t="i"/>
    <k n="errorType" t="i"/>
    <k n="rwOffset" t="i"/>
    <k n="subType" t="i"/>
  </s>
</rvStructure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6"/>
  <sheetViews>
    <sheetView tabSelected="1" topLeftCell="B19" workbookViewId="0">
      <selection activeCell="P35" sqref="P35"/>
    </sheetView>
  </sheetViews>
  <sheetFormatPr defaultRowHeight="14.4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22">
      <c r="A2" t="s">
        <v>6</v>
      </c>
      <c r="B2" t="s">
        <v>16</v>
      </c>
      <c r="C2">
        <v>25</v>
      </c>
      <c r="D2">
        <v>50000</v>
      </c>
      <c r="E2">
        <v>5000</v>
      </c>
      <c r="F2">
        <v>154</v>
      </c>
    </row>
    <row r="3" spans="1:22">
      <c r="A3" t="s">
        <v>7</v>
      </c>
      <c r="B3" t="s">
        <v>17</v>
      </c>
      <c r="C3">
        <v>30</v>
      </c>
      <c r="D3">
        <v>60000</v>
      </c>
      <c r="F3">
        <v>115</v>
      </c>
      <c r="J3">
        <f>COUNT(C2:C11)</f>
        <v>7</v>
      </c>
      <c r="N3" s="2" t="s">
        <v>19</v>
      </c>
      <c r="V3" s="3" t="s">
        <v>27</v>
      </c>
    </row>
    <row r="4" spans="1:22">
      <c r="A4" t="s">
        <v>8</v>
      </c>
      <c r="B4" t="s">
        <v>18</v>
      </c>
      <c r="C4">
        <v>35</v>
      </c>
      <c r="D4">
        <v>70000</v>
      </c>
      <c r="E4">
        <v>7000</v>
      </c>
      <c r="F4">
        <v>106</v>
      </c>
      <c r="V4" s="4"/>
    </row>
    <row r="5" spans="1:22">
      <c r="A5" t="s">
        <v>9</v>
      </c>
      <c r="B5" t="s">
        <v>18</v>
      </c>
      <c r="D5">
        <v>55000</v>
      </c>
      <c r="E5">
        <v>6000</v>
      </c>
      <c r="F5">
        <v>139</v>
      </c>
      <c r="J5">
        <f>COUNTA(B2:B11)</f>
        <v>10</v>
      </c>
      <c r="N5" s="2" t="s">
        <v>20</v>
      </c>
      <c r="V5" s="3" t="s">
        <v>28</v>
      </c>
    </row>
    <row r="6" spans="1:22">
      <c r="A6" t="s">
        <v>10</v>
      </c>
      <c r="B6" t="s">
        <v>17</v>
      </c>
      <c r="C6">
        <v>28</v>
      </c>
      <c r="E6">
        <v>5500</v>
      </c>
      <c r="F6">
        <v>99</v>
      </c>
      <c r="V6" s="4"/>
    </row>
    <row r="7" spans="1:22">
      <c r="A7" t="s">
        <v>11</v>
      </c>
      <c r="B7" t="s">
        <v>16</v>
      </c>
      <c r="C7">
        <v>40</v>
      </c>
      <c r="D7">
        <v>65000</v>
      </c>
      <c r="F7">
        <v>156</v>
      </c>
      <c r="J7">
        <f>COUNTBLANK(D2:D11)</f>
        <v>2</v>
      </c>
      <c r="N7" s="2" t="s">
        <v>21</v>
      </c>
      <c r="V7" s="3" t="s">
        <v>29</v>
      </c>
    </row>
    <row r="8" spans="1:22">
      <c r="A8" t="s">
        <v>12</v>
      </c>
      <c r="B8" t="s">
        <v>18</v>
      </c>
      <c r="D8">
        <v>72000</v>
      </c>
      <c r="E8">
        <v>8000</v>
      </c>
      <c r="F8">
        <v>59</v>
      </c>
      <c r="V8" s="4"/>
    </row>
    <row r="9" spans="1:22">
      <c r="A9" t="s">
        <v>13</v>
      </c>
      <c r="B9" t="s">
        <v>17</v>
      </c>
      <c r="C9">
        <v>33</v>
      </c>
      <c r="D9">
        <v>58000</v>
      </c>
      <c r="E9">
        <v>4000</v>
      </c>
      <c r="F9">
        <v>145</v>
      </c>
      <c r="J9">
        <f>SUM(D2:D11)</f>
        <v>491000</v>
      </c>
      <c r="N9" s="2" t="s">
        <v>22</v>
      </c>
      <c r="V9" s="3" t="s">
        <v>30</v>
      </c>
    </row>
    <row r="10" spans="1:22">
      <c r="A10" t="s">
        <v>14</v>
      </c>
      <c r="B10" t="s">
        <v>16</v>
      </c>
      <c r="C10">
        <v>29</v>
      </c>
      <c r="E10">
        <v>3000</v>
      </c>
      <c r="F10">
        <v>11</v>
      </c>
      <c r="V10" s="4"/>
    </row>
    <row r="11" spans="1:22">
      <c r="A11" t="s">
        <v>15</v>
      </c>
      <c r="B11" t="s">
        <v>18</v>
      </c>
      <c r="D11">
        <v>61000</v>
      </c>
      <c r="F11">
        <v>64</v>
      </c>
      <c r="J11">
        <f>SUMIF(B2:B11,"IT",D2:D11)</f>
        <v>258000</v>
      </c>
      <c r="N11" s="2" t="s">
        <v>23</v>
      </c>
      <c r="V11" s="3" t="s">
        <v>31</v>
      </c>
    </row>
    <row r="12" spans="1:22">
      <c r="V12" s="4"/>
    </row>
    <row r="13" spans="1:22">
      <c r="J13">
        <f>SUMIF(F2:F11,"&gt;100")</f>
        <v>815</v>
      </c>
      <c r="N13" s="2" t="s">
        <v>24</v>
      </c>
      <c r="V13" s="3" t="s">
        <v>32</v>
      </c>
    </row>
    <row r="14" spans="1:22">
      <c r="V14" s="4"/>
    </row>
    <row r="15" spans="1:22">
      <c r="J15">
        <f>SUMIFS(E2:E11,B2:B11,"Finance",F2:F11,"&gt;100")</f>
        <v>4000</v>
      </c>
      <c r="N15" s="2" t="s">
        <v>25</v>
      </c>
      <c r="V15" s="3" t="s">
        <v>33</v>
      </c>
    </row>
    <row r="16" spans="1:22">
      <c r="V16" s="4"/>
    </row>
    <row r="17" spans="3:22">
      <c r="I17" t="s">
        <v>16</v>
      </c>
      <c r="J17">
        <f>SUMIFS(D2:D11,B2:B11,"HR",C2:C11,"&gt;28")</f>
        <v>65000</v>
      </c>
      <c r="N17" s="2" t="s">
        <v>26</v>
      </c>
      <c r="V17" s="3" t="s">
        <v>34</v>
      </c>
    </row>
    <row r="22" spans="3:22">
      <c r="C22" t="s">
        <v>35</v>
      </c>
      <c r="N22">
        <f>AVERAGEIFS(D2:D11,B2:B11,"IT",F2:F11,"&gt;120")</f>
        <v>55000</v>
      </c>
      <c r="P22">
        <f>AVERAGEIFS(D2:D11,B2:B11,"IT",F2:F11,"&gt;120")</f>
        <v>55000</v>
      </c>
    </row>
    <row r="24" spans="3:22">
      <c r="C24" t="s">
        <v>36</v>
      </c>
      <c r="N24">
        <f>COUNTIFS(E2:E11,"",F2:F11,"&gt;150")</f>
        <v>1</v>
      </c>
      <c r="P24">
        <f>COUNTIFS(E2:E11,"",F2:F11,"&gt;150")</f>
        <v>1</v>
      </c>
    </row>
    <row r="26" spans="3:22">
      <c r="C26" t="s">
        <v>37</v>
      </c>
      <c r="N26">
        <f>_xlfn.MAXIFS(F2:F11,B2:B11,"HR",C2:C11,"&lt;=30")</f>
        <v>154</v>
      </c>
      <c r="P26">
        <f>_xlfn.MAXIFS(F2:F11,B2:B11,"HR",C2:C11,"&lt;=30")</f>
        <v>154</v>
      </c>
    </row>
    <row r="28" spans="3:22">
      <c r="C28" t="s">
        <v>38</v>
      </c>
      <c r="P28">
        <f>SUMIFS(E2:E11,D2:D11,"&gt;60000",C2:C11,"&lt;&gt;")</f>
        <v>7000</v>
      </c>
    </row>
    <row r="30" spans="3:22">
      <c r="C30" t="s">
        <v>39</v>
      </c>
      <c r="N30">
        <f>COUNTIFS(B2:B11,"Finance",C2:C11,"&lt;"&amp;AVERAGE(C2:C11))</f>
        <v>2</v>
      </c>
      <c r="P30">
        <f>COUNTIFS(B2:B11,"Finance",C2:C11,"&lt;"&amp;AVERAGE(C2:C11))</f>
        <v>2</v>
      </c>
    </row>
    <row r="32" spans="3:22">
      <c r="C32" t="s">
        <v>40</v>
      </c>
      <c r="N32">
        <f>SUMIFS(F2:F11,E2:E11,"&lt;&gt;",D2:D11,"")</f>
        <v>110</v>
      </c>
      <c r="P32">
        <f>SUMIFS(F2:F11,E2:E11,"&lt;&gt;",D2:D11,"")</f>
        <v>110</v>
      </c>
    </row>
    <row r="34" spans="3:16">
      <c r="C34" t="s">
        <v>41</v>
      </c>
      <c r="N34" t="e">
        <f>AVERAGEIFS(C2:C11,B2:B11,"HR",F2:F11,"&lt;100") + AVERAGEIFS(C2:C11,B2:B11,"IT",F2:F11,"&lt;100") / 2</f>
        <v>#DIV/0!</v>
      </c>
      <c r="O34" t="e" cm="1" vm="1">
        <f t="array" aca="1" ref="O34" ca="1">AVERAGEIFS(C2:C11, B2:B11, {"HR","IT"}, F2:F11, "&lt;100")</f>
        <v>#VALUE!</v>
      </c>
      <c r="P34" cm="1">
        <f t="array" ref="P34">AVERAGE(IF((B2:B11="HR")+(B2:B11="IT"),IF(F2:F11&lt;100,C2:C11)))</f>
        <v>9.6666666666666661</v>
      </c>
    </row>
    <row r="36" spans="3:16">
      <c r="C36" t="s">
        <v>42</v>
      </c>
      <c r="P36">
        <f>SUMIFS(D2:D11,A2:A11,"A*",F2:F11,"&gt;100") + SUMIFS(D2:D11,A2:A11,"E*",F2:F11,"&gt;100")</f>
        <v>50000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Siddhesh Mestry</cp:lastModifiedBy>
  <dcterms:created xsi:type="dcterms:W3CDTF">2025-08-14T09:24:34Z</dcterms:created>
  <dcterms:modified xsi:type="dcterms:W3CDTF">2025-08-14T10:54:48Z</dcterms:modified>
</cp:coreProperties>
</file>