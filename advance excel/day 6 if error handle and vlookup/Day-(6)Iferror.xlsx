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iddh\OneDrive\Desktop\ExcelR\advance excel\day 6 if error handle and vlookup\"/>
    </mc:Choice>
  </mc:AlternateContent>
  <xr:revisionPtr revIDLastSave="0" documentId="13_ncr:1_{7118D5C3-9BB7-4585-B408-A8E6C256EF3A}" xr6:coauthVersionLast="47" xr6:coauthVersionMax="47" xr10:uidLastSave="{00000000-0000-0000-0000-000000000000}"/>
  <bookViews>
    <workbookView xWindow="-108" yWindow="-108" windowWidth="23256" windowHeight="12456" xr2:uid="{00F99FEF-71A8-4849-8572-3562AD28C589}"/>
  </bookViews>
  <sheets>
    <sheet name="IfError" sheetId="1" r:id="rId1"/>
    <sheet name="V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" l="1"/>
  <c r="E40" i="1"/>
  <c r="C2" i="2"/>
  <c r="B2" i="2"/>
  <c r="C18" i="2"/>
  <c r="J6" i="2"/>
  <c r="J7" i="2"/>
  <c r="J8" i="2"/>
  <c r="J9" i="2"/>
  <c r="J10" i="2"/>
  <c r="J11" i="2"/>
  <c r="J12" i="2"/>
  <c r="J13" i="2"/>
  <c r="J5" i="2"/>
  <c r="I6" i="2"/>
  <c r="I7" i="2"/>
  <c r="I8" i="2"/>
  <c r="I9" i="2"/>
  <c r="I10" i="2"/>
  <c r="I11" i="2"/>
  <c r="I12" i="2"/>
  <c r="I13" i="2"/>
  <c r="I5" i="2"/>
  <c r="E23" i="1"/>
  <c r="G29" i="2"/>
  <c r="G28" i="2"/>
  <c r="G27" i="2"/>
  <c r="G26" i="2"/>
  <c r="G25" i="2"/>
  <c r="G24" i="2"/>
  <c r="G23" i="2"/>
  <c r="G22" i="2"/>
  <c r="G21" i="2"/>
  <c r="F13" i="2"/>
  <c r="F12" i="2"/>
  <c r="F11" i="2"/>
  <c r="F10" i="2"/>
  <c r="F9" i="2"/>
  <c r="F8" i="2"/>
  <c r="F7" i="2"/>
  <c r="F6" i="2"/>
  <c r="F5" i="2"/>
  <c r="E36" i="1"/>
  <c r="E37" i="1"/>
  <c r="E38" i="1"/>
  <c r="E39" i="1"/>
  <c r="E41" i="1"/>
  <c r="E42" i="1"/>
  <c r="E43" i="1"/>
  <c r="E35" i="1"/>
  <c r="E26" i="1" a="1"/>
  <c r="E26" i="1" s="1"/>
  <c r="E25" i="1" a="1"/>
  <c r="E25" i="1" s="1"/>
  <c r="I30" i="1"/>
  <c r="I26" i="1" a="1"/>
  <c r="I26" i="1" s="1"/>
  <c r="I24" i="1" a="1"/>
  <c r="I24" i="1" s="1"/>
  <c r="E29" i="1" a="1"/>
  <c r="E29" i="1" s="1"/>
  <c r="E30" i="1"/>
  <c r="E28" i="1"/>
  <c r="E24" i="1"/>
  <c r="E22" i="1"/>
  <c r="I15" i="1"/>
  <c r="I16" i="1"/>
  <c r="I17" i="1"/>
  <c r="I14" i="1"/>
  <c r="H15" i="1"/>
  <c r="H16" i="1"/>
  <c r="H17" i="1"/>
  <c r="H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<sst xmlns="http://schemas.openxmlformats.org/spreadsheetml/2006/main" count="154" uniqueCount="95">
  <si>
    <t>Product</t>
  </si>
  <si>
    <t>Total Sales</t>
  </si>
  <si>
    <t>Quantity Sold</t>
  </si>
  <si>
    <t>Check Data</t>
  </si>
  <si>
    <t>(blank)</t>
  </si>
  <si>
    <t>Pen</t>
  </si>
  <si>
    <t>Pencil</t>
  </si>
  <si>
    <t>Marker</t>
  </si>
  <si>
    <t>Mouse</t>
  </si>
  <si>
    <t>Sr No</t>
  </si>
  <si>
    <t>Normal calculation</t>
  </si>
  <si>
    <t>using Iferror</t>
  </si>
  <si>
    <t>Unit Price</t>
  </si>
  <si>
    <t>Error Code</t>
  </si>
  <si>
    <t>Stands For</t>
  </si>
  <si>
    <t>Triggered By</t>
  </si>
  <si>
    <t>Division by Zero</t>
  </si>
  <si>
    <t>Division by 0 or empty</t>
  </si>
  <si>
    <t>Not Available</t>
  </si>
  <si>
    <t>Lookup fails</t>
  </si>
  <si>
    <t>Wrong Value</t>
  </si>
  <si>
    <t>Wrong data type</t>
  </si>
  <si>
    <t>Reference Error</t>
  </si>
  <si>
    <t>Deleted/missing reference</t>
  </si>
  <si>
    <t>Name Error</t>
  </si>
  <si>
    <t>Invalid function or name</t>
  </si>
  <si>
    <t>Number Error</t>
  </si>
  <si>
    <t>Invalid numeric input</t>
  </si>
  <si>
    <t>Null Intersection</t>
  </si>
  <si>
    <t>Wrong range separator</t>
  </si>
  <si>
    <t>#SPILL!</t>
  </si>
  <si>
    <t>Spill Error</t>
  </si>
  <si>
    <t>Can't place result of dynamic array</t>
  </si>
  <si>
    <t>Sr.No</t>
  </si>
  <si>
    <t>Product ID</t>
  </si>
  <si>
    <t>Units Sold</t>
  </si>
  <si>
    <t>Error Type</t>
  </si>
  <si>
    <t>P001</t>
  </si>
  <si>
    <t>P002</t>
  </si>
  <si>
    <t>P003</t>
  </si>
  <si>
    <t>P004</t>
  </si>
  <si>
    <t>(deleted)</t>
  </si>
  <si>
    <t>P005</t>
  </si>
  <si>
    <t>#NAME?</t>
  </si>
  <si>
    <t>P006</t>
  </si>
  <si>
    <t>P007</t>
  </si>
  <si>
    <t>P008</t>
  </si>
  <si>
    <t>P009</t>
  </si>
  <si>
    <t>NA (missing in lookup table)</t>
  </si>
  <si>
    <t>Formula Example</t>
  </si>
  <si>
    <t>Cause</t>
  </si>
  <si>
    <t>Fix</t>
  </si>
  <si>
    <t>Dividing by zero</t>
  </si>
  <si>
    <t>Can't divide blank or text by number</t>
  </si>
  <si>
    <r>
      <t xml:space="preserve">Use </t>
    </r>
    <r>
      <rPr>
        <sz val="10"/>
        <color theme="1"/>
        <rFont val="Arial Unicode MS"/>
      </rPr>
      <t>IFERROR()</t>
    </r>
    <r>
      <rPr>
        <sz val="11"/>
        <color theme="1"/>
        <rFont val="Aptos Narrow"/>
        <family val="2"/>
        <scheme val="minor"/>
      </rPr>
      <t xml:space="preserve"> or validate input</t>
    </r>
  </si>
  <si>
    <r>
      <t>SOME</t>
    </r>
    <r>
      <rPr>
        <sz val="11"/>
        <color theme="1"/>
        <rFont val="Aptos Narrow"/>
        <family val="2"/>
        <scheme val="minor"/>
      </rPr>
      <t xml:space="preserve"> is not a valid function</t>
    </r>
  </si>
  <si>
    <t>Invalid math (e.g. square root of negative)</t>
  </si>
  <si>
    <t>Incorrect range syntax</t>
  </si>
  <si>
    <t>Dynamic array blocked</t>
  </si>
  <si>
    <t>Clear adjacent cells</t>
  </si>
  <si>
    <t>Lookup failed</t>
  </si>
  <si>
    <r>
      <t xml:space="preserve">Use </t>
    </r>
    <r>
      <rPr>
        <sz val="10"/>
        <color theme="1"/>
        <rFont val="Arial Unicode MS"/>
      </rPr>
      <t>IFNA()</t>
    </r>
    <r>
      <rPr>
        <sz val="11"/>
        <color theme="1"/>
        <rFont val="Aptos Narrow"/>
        <family val="2"/>
        <scheme val="minor"/>
      </rPr>
      <t xml:space="preserve"> or check lookup table</t>
    </r>
  </si>
  <si>
    <t xml:space="preserve">Sales </t>
  </si>
  <si>
    <t>Calculation</t>
  </si>
  <si>
    <r>
      <t>=C25/D25</t>
    </r>
    <r>
      <rPr>
        <sz val="11"/>
        <color theme="1"/>
        <rFont val="Aptos Narrow"/>
        <family val="2"/>
        <scheme val="minor"/>
      </rPr>
      <t xml:space="preserve"> → 500/0</t>
    </r>
  </si>
  <si>
    <r>
      <t xml:space="preserve">Add check: </t>
    </r>
    <r>
      <rPr>
        <sz val="10"/>
        <color theme="1"/>
        <rFont val="Arial Unicode MS"/>
      </rPr>
      <t>=IF(D25=0, "Invalid", C25/D25)</t>
    </r>
  </si>
  <si>
    <t>=SOME(#REF!) (misspelled function)</t>
  </si>
  <si>
    <r>
      <t xml:space="preserve">Correct to </t>
    </r>
    <r>
      <rPr>
        <sz val="10"/>
        <color theme="1"/>
        <rFont val="Arial Unicode MS"/>
      </rPr>
      <t>=SUM(C27:D27)</t>
    </r>
  </si>
  <si>
    <r>
      <t xml:space="preserve">Correct to </t>
    </r>
    <r>
      <rPr>
        <sz val="10"/>
        <color theme="1"/>
        <rFont val="Arial Unicode MS"/>
      </rPr>
      <t>=SUM(C28:D28)</t>
    </r>
  </si>
  <si>
    <r>
      <t>=SQRT(D29)</t>
    </r>
    <r>
      <rPr>
        <sz val="11"/>
        <color theme="1"/>
        <rFont val="Aptos Narrow"/>
        <family val="2"/>
        <scheme val="minor"/>
      </rPr>
      <t xml:space="preserve"> where </t>
    </r>
    <r>
      <rPr>
        <sz val="10"/>
        <color theme="1"/>
        <rFont val="Arial Unicode MS"/>
      </rPr>
      <t>D29</t>
    </r>
    <r>
      <rPr>
        <sz val="11"/>
        <color theme="1"/>
        <rFont val="Aptos Narrow"/>
        <family val="2"/>
        <scheme val="minor"/>
      </rPr>
      <t xml:space="preserve"> = -3</t>
    </r>
  </si>
  <si>
    <r>
      <t xml:space="preserve">Use </t>
    </r>
    <r>
      <rPr>
        <sz val="10"/>
        <color theme="1"/>
        <rFont val="Arial Unicode MS"/>
      </rPr>
      <t>=IF(D29&lt;0, "Invalid", SQRT(D29))</t>
    </r>
  </si>
  <si>
    <r>
      <t>=C30 D30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(</t>
    </r>
    <r>
      <rPr>
        <sz val="11"/>
        <color theme="1"/>
        <rFont val="Aptos Narrow"/>
        <family val="2"/>
        <scheme val="minor"/>
      </rPr>
      <t>missing comma or operator</t>
    </r>
    <r>
      <rPr>
        <sz val="10"/>
        <color theme="1"/>
        <rFont val="Arial Unicode MS"/>
      </rPr>
      <t>)</t>
    </r>
  </si>
  <si>
    <r>
      <t xml:space="preserve">Use </t>
    </r>
    <r>
      <rPr>
        <sz val="10"/>
        <color theme="1"/>
        <rFont val="Arial Unicode MS"/>
      </rPr>
      <t>=C30+D30</t>
    </r>
    <r>
      <rPr>
        <sz val="11"/>
        <color theme="1"/>
        <rFont val="Aptos Narrow"/>
        <family val="2"/>
        <scheme val="minor"/>
      </rPr>
      <t xml:space="preserve"> instead</t>
    </r>
  </si>
  <si>
    <r>
      <t>=SEQUENCE(1,3)</t>
    </r>
    <r>
      <rPr>
        <sz val="11"/>
        <color theme="1"/>
        <rFont val="Aptos Narrow"/>
        <family val="2"/>
        <scheme val="minor"/>
      </rPr>
      <t xml:space="preserve"> in </t>
    </r>
    <r>
      <rPr>
        <sz val="10"/>
        <color theme="1"/>
        <rFont val="Arial Unicode MS"/>
      </rPr>
      <t>E31</t>
    </r>
    <r>
      <rPr>
        <sz val="11"/>
        <color theme="1"/>
        <rFont val="Aptos Narrow"/>
        <family val="2"/>
        <scheme val="minor"/>
      </rPr>
      <t xml:space="preserve"> with data blocking spill</t>
    </r>
  </si>
  <si>
    <t>Solutions</t>
  </si>
  <si>
    <t>Order_ID</t>
  </si>
  <si>
    <t>Product_Name</t>
  </si>
  <si>
    <t>Amount</t>
  </si>
  <si>
    <t>Seller_Name</t>
  </si>
  <si>
    <t>QTY</t>
  </si>
  <si>
    <t>Price</t>
  </si>
  <si>
    <t>Mobile Stand</t>
  </si>
  <si>
    <t>Bharat Electronics</t>
  </si>
  <si>
    <t>Mouse Pad</t>
  </si>
  <si>
    <t>Tech Mart</t>
  </si>
  <si>
    <t>Wireless Mouse</t>
  </si>
  <si>
    <t>Ring Light</t>
  </si>
  <si>
    <t>Store 99</t>
  </si>
  <si>
    <t>Keyboard</t>
  </si>
  <si>
    <t>Wireless Keyboard</t>
  </si>
  <si>
    <t>Speaker</t>
  </si>
  <si>
    <t>Store 100</t>
  </si>
  <si>
    <t>Hard disk</t>
  </si>
  <si>
    <t>price using vlookup</t>
  </si>
  <si>
    <t>price using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</si>
</sst>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/>
    </xf>
    <xf numFmtId="0" fontId="4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AB25D-2B00-4B0F-9148-95558301BC26}">
  <dimension ref="A2:K43"/>
  <sheetViews>
    <sheetView tabSelected="1" topLeftCell="B11" zoomScale="119" workbookViewId="0">
      <selection activeCell="E27" sqref="E27"/>
    </sheetView>
  </sheetViews>
  <sheetFormatPr defaultRowHeight="14.4"/>
  <cols>
    <col min="1" max="1" width="5.5546875" style="10" bestFit="1" customWidth="1"/>
    <col min="2" max="2" width="9.77734375" bestFit="1" customWidth="1"/>
    <col min="3" max="4" width="14.5546875" bestFit="1" customWidth="1"/>
    <col min="5" max="5" width="29.6640625" bestFit="1" customWidth="1"/>
    <col min="6" max="6" width="12.44140625" bestFit="1" customWidth="1"/>
    <col min="8" max="8" width="17.33203125" bestFit="1" customWidth="1"/>
    <col min="9" max="9" width="24.5546875" style="1" customWidth="1"/>
    <col min="10" max="11" width="21.109375" style="1" customWidth="1"/>
    <col min="12" max="12" width="14.5546875" bestFit="1" customWidth="1"/>
    <col min="13" max="13" width="29.6640625" bestFit="1" customWidth="1"/>
  </cols>
  <sheetData>
    <row r="2" spans="2:9">
      <c r="B2" s="11" t="s">
        <v>33</v>
      </c>
      <c r="C2" s="5" t="s">
        <v>13</v>
      </c>
      <c r="D2" s="5" t="s">
        <v>14</v>
      </c>
      <c r="E2" s="5" t="s">
        <v>15</v>
      </c>
    </row>
    <row r="3" spans="2:9">
      <c r="B3" s="7">
        <v>1</v>
      </c>
      <c r="C3" s="32" t="e">
        <v>#DIV/0!</v>
      </c>
      <c r="D3" s="4" t="s">
        <v>16</v>
      </c>
      <c r="E3" s="4" t="s">
        <v>17</v>
      </c>
    </row>
    <row r="4" spans="2:9">
      <c r="B4" s="7">
        <v>2</v>
      </c>
      <c r="C4" s="32" t="e">
        <v>#N/A</v>
      </c>
      <c r="D4" s="4" t="s">
        <v>18</v>
      </c>
      <c r="E4" s="4" t="s">
        <v>19</v>
      </c>
    </row>
    <row r="5" spans="2:9">
      <c r="B5" s="7">
        <v>3</v>
      </c>
      <c r="C5" s="32" t="e">
        <v>#VALUE!</v>
      </c>
      <c r="D5" s="4" t="s">
        <v>20</v>
      </c>
      <c r="E5" s="4" t="s">
        <v>21</v>
      </c>
    </row>
    <row r="6" spans="2:9">
      <c r="B6" s="7">
        <v>4</v>
      </c>
      <c r="C6" s="32" t="e">
        <v>#REF!</v>
      </c>
      <c r="D6" s="4" t="s">
        <v>22</v>
      </c>
      <c r="E6" s="4" t="s">
        <v>23</v>
      </c>
    </row>
    <row r="7" spans="2:9">
      <c r="B7" s="7">
        <v>5</v>
      </c>
      <c r="C7" s="32" t="e">
        <v>#NAME?</v>
      </c>
      <c r="D7" s="4" t="s">
        <v>24</v>
      </c>
      <c r="E7" s="4" t="s">
        <v>25</v>
      </c>
    </row>
    <row r="8" spans="2:9">
      <c r="B8" s="7">
        <v>6</v>
      </c>
      <c r="C8" s="32" t="e">
        <v>#NUM!</v>
      </c>
      <c r="D8" s="4" t="s">
        <v>26</v>
      </c>
      <c r="E8" s="4" t="s">
        <v>27</v>
      </c>
    </row>
    <row r="9" spans="2:9">
      <c r="B9" s="7">
        <v>7</v>
      </c>
      <c r="C9" s="32" t="e">
        <v>#NULL!</v>
      </c>
      <c r="D9" s="4" t="s">
        <v>28</v>
      </c>
      <c r="E9" s="4" t="s">
        <v>29</v>
      </c>
    </row>
    <row r="10" spans="2:9">
      <c r="B10" s="7">
        <v>8</v>
      </c>
      <c r="C10" s="32" t="s">
        <v>30</v>
      </c>
      <c r="D10" s="4" t="s">
        <v>31</v>
      </c>
      <c r="E10" s="4" t="s">
        <v>32</v>
      </c>
    </row>
    <row r="13" spans="2:9">
      <c r="B13" s="5" t="s">
        <v>9</v>
      </c>
      <c r="C13" s="5" t="s">
        <v>0</v>
      </c>
      <c r="D13" s="5" t="s">
        <v>1</v>
      </c>
      <c r="E13" s="5" t="s">
        <v>2</v>
      </c>
      <c r="F13" s="5" t="s">
        <v>12</v>
      </c>
      <c r="H13" s="8" t="s">
        <v>10</v>
      </c>
      <c r="I13" s="13" t="s">
        <v>11</v>
      </c>
    </row>
    <row r="14" spans="2:9">
      <c r="B14" s="7">
        <v>1</v>
      </c>
      <c r="C14" s="4" t="s">
        <v>5</v>
      </c>
      <c r="D14" s="26">
        <v>1000</v>
      </c>
      <c r="E14" s="26">
        <v>10</v>
      </c>
      <c r="F14" s="4">
        <v>100</v>
      </c>
      <c r="H14">
        <f>D14/E14</f>
        <v>100</v>
      </c>
      <c r="I14" s="1">
        <f>IFERROR(D14/E14, "Check Data")</f>
        <v>100</v>
      </c>
    </row>
    <row r="15" spans="2:9">
      <c r="B15" s="7">
        <v>2</v>
      </c>
      <c r="C15" s="4" t="s">
        <v>6</v>
      </c>
      <c r="D15" s="26">
        <v>750</v>
      </c>
      <c r="E15" s="26">
        <v>0</v>
      </c>
      <c r="F15" s="4" t="s">
        <v>3</v>
      </c>
      <c r="H15" t="e">
        <f t="shared" ref="H15:H17" si="0">D15/E15</f>
        <v>#DIV/0!</v>
      </c>
      <c r="I15" s="1" t="str">
        <f t="shared" ref="I15:I17" si="1">IFERROR(D15/E15, "Check Data")</f>
        <v>Check Data</v>
      </c>
    </row>
    <row r="16" spans="2:9">
      <c r="B16" s="7">
        <v>3</v>
      </c>
      <c r="C16" s="4" t="s">
        <v>7</v>
      </c>
      <c r="D16" s="26" t="s">
        <v>4</v>
      </c>
      <c r="E16" s="26">
        <v>5</v>
      </c>
      <c r="F16" s="4" t="s">
        <v>3</v>
      </c>
      <c r="H16" t="e">
        <f t="shared" si="0"/>
        <v>#VALUE!</v>
      </c>
      <c r="I16" s="1" t="str">
        <f t="shared" si="1"/>
        <v>Check Data</v>
      </c>
    </row>
    <row r="17" spans="2:11">
      <c r="B17" s="7">
        <v>4</v>
      </c>
      <c r="C17" s="4" t="s">
        <v>8</v>
      </c>
      <c r="D17" s="26">
        <v>900</v>
      </c>
      <c r="E17" s="26" t="s">
        <v>4</v>
      </c>
      <c r="F17" s="4" t="s">
        <v>3</v>
      </c>
      <c r="H17" t="e">
        <f t="shared" si="0"/>
        <v>#VALUE!</v>
      </c>
      <c r="I17" s="1" t="str">
        <f t="shared" si="1"/>
        <v>Check Data</v>
      </c>
    </row>
    <row r="21" spans="2:11">
      <c r="B21" s="15" t="s">
        <v>34</v>
      </c>
      <c r="C21" s="16" t="s">
        <v>62</v>
      </c>
      <c r="D21" s="16" t="s">
        <v>35</v>
      </c>
      <c r="E21" s="16" t="s">
        <v>63</v>
      </c>
      <c r="F21" s="23" t="s">
        <v>36</v>
      </c>
      <c r="H21" s="20" t="s">
        <v>36</v>
      </c>
      <c r="I21" s="20" t="s">
        <v>49</v>
      </c>
      <c r="J21" s="20" t="s">
        <v>50</v>
      </c>
      <c r="K21" s="20" t="s">
        <v>51</v>
      </c>
    </row>
    <row r="22" spans="2:11">
      <c r="B22" s="3" t="s">
        <v>37</v>
      </c>
      <c r="C22" s="14">
        <v>1000</v>
      </c>
      <c r="D22" s="14">
        <v>10</v>
      </c>
      <c r="E22" s="14">
        <f>C22/D22</f>
        <v>100</v>
      </c>
      <c r="F22" s="21"/>
      <c r="H22" s="7"/>
      <c r="I22" s="17"/>
      <c r="J22" s="17"/>
      <c r="K22" s="17"/>
    </row>
    <row r="23" spans="2:11" ht="27.6">
      <c r="B23" s="3" t="s">
        <v>38</v>
      </c>
      <c r="C23" s="14">
        <v>500</v>
      </c>
      <c r="D23" s="14">
        <v>0</v>
      </c>
      <c r="E23" s="14" t="e">
        <f>C23/D23</f>
        <v>#DIV/0!</v>
      </c>
      <c r="F23" s="22" t="e">
        <v>#DIV/0!</v>
      </c>
      <c r="H23" s="25" t="e">
        <v>#DIV/0!</v>
      </c>
      <c r="I23" s="18" t="s">
        <v>64</v>
      </c>
      <c r="J23" s="3" t="s">
        <v>52</v>
      </c>
      <c r="K23" s="3" t="s">
        <v>65</v>
      </c>
    </row>
    <row r="24" spans="2:11" ht="28.8">
      <c r="B24" s="3" t="s">
        <v>39</v>
      </c>
      <c r="C24" s="14" t="s">
        <v>4</v>
      </c>
      <c r="D24" s="14">
        <v>8</v>
      </c>
      <c r="E24" s="14" t="e">
        <f t="shared" ref="E23:E24" si="2">C24/D24</f>
        <v>#VALUE!</v>
      </c>
      <c r="F24" s="22" t="e">
        <v>#VALUE!</v>
      </c>
      <c r="H24" s="25" t="e">
        <v>#VALUE!</v>
      </c>
      <c r="I24" s="19" t="e" cm="1">
        <f t="array" ref="I24">#REF!/#REF! with blank sales</f>
        <v>#REF!</v>
      </c>
      <c r="J24" s="3" t="s">
        <v>53</v>
      </c>
      <c r="K24" s="3" t="s">
        <v>54</v>
      </c>
    </row>
    <row r="25" spans="2:11" ht="28.8">
      <c r="B25" s="3" t="s">
        <v>40</v>
      </c>
      <c r="C25" s="14">
        <v>800</v>
      </c>
      <c r="D25" s="14" t="s">
        <v>41</v>
      </c>
      <c r="E25" s="14" t="e" cm="1">
        <f t="array" aca="1" ref="E25" ca="1">SOME(C25:D25)</f>
        <v>#NAME?</v>
      </c>
      <c r="F25" s="22" t="s">
        <v>43</v>
      </c>
      <c r="H25" s="25" t="e">
        <v>#NAME?</v>
      </c>
      <c r="I25" s="18" t="s">
        <v>66</v>
      </c>
      <c r="J25" s="19" t="s">
        <v>55</v>
      </c>
      <c r="K25" s="3" t="s">
        <v>67</v>
      </c>
    </row>
    <row r="26" spans="2:11" ht="28.8">
      <c r="B26" s="3" t="s">
        <v>42</v>
      </c>
      <c r="C26" s="14">
        <v>400</v>
      </c>
      <c r="D26" s="14">
        <v>5</v>
      </c>
      <c r="E26" s="14" t="e" cm="1">
        <f t="array" aca="1" ref="E26" ca="1">SOME(C26:D26)</f>
        <v>#NAME?</v>
      </c>
      <c r="F26" s="22" t="s">
        <v>43</v>
      </c>
      <c r="H26" s="25" t="e">
        <v>#NAME?</v>
      </c>
      <c r="I26" s="19" t="e" cm="1">
        <f t="array" aca="1" ref="I26" ca="1">SOME(#REF!) (misspelled function)</f>
        <v>#NAME?</v>
      </c>
      <c r="J26" s="19" t="s">
        <v>55</v>
      </c>
      <c r="K26" s="3" t="s">
        <v>68</v>
      </c>
    </row>
    <row r="27" spans="2:11" ht="28.8">
      <c r="B27" s="3" t="s">
        <v>44</v>
      </c>
      <c r="C27" s="14">
        <v>700</v>
      </c>
      <c r="D27" s="14">
        <v>-3</v>
      </c>
      <c r="E27" s="14" t="e">
        <f>SQRT(D27)</f>
        <v>#NUM!</v>
      </c>
      <c r="F27" s="22" t="e">
        <v>#NUM!</v>
      </c>
      <c r="H27" s="25" t="e">
        <v>#NUM!</v>
      </c>
      <c r="I27" s="18" t="s">
        <v>69</v>
      </c>
      <c r="J27" s="3" t="s">
        <v>56</v>
      </c>
      <c r="K27" s="3" t="s">
        <v>70</v>
      </c>
    </row>
    <row r="28" spans="2:11" ht="28.8">
      <c r="B28" s="3" t="s">
        <v>45</v>
      </c>
      <c r="C28" s="14">
        <v>900</v>
      </c>
      <c r="D28" s="14">
        <v>10</v>
      </c>
      <c r="E28" s="14" t="e">
        <f>C28 D28</f>
        <v>#NULL!</v>
      </c>
      <c r="F28" s="22" t="e">
        <v>#NULL!</v>
      </c>
      <c r="H28" s="25" t="e">
        <v>#NULL!</v>
      </c>
      <c r="I28" s="18" t="s">
        <v>71</v>
      </c>
      <c r="J28" s="3" t="s">
        <v>57</v>
      </c>
      <c r="K28" s="3" t="s">
        <v>72</v>
      </c>
    </row>
    <row r="29" spans="2:11" ht="28.8">
      <c r="B29" s="3" t="s">
        <v>46</v>
      </c>
      <c r="C29" s="14">
        <v>600</v>
      </c>
      <c r="D29" s="14">
        <v>6</v>
      </c>
      <c r="E29" s="14" t="e" cm="1" vm="1">
        <f t="array" aca="1" ref="E29" ca="1">_xlfn.SEQUENCE(1,3)</f>
        <v>#VALUE!</v>
      </c>
      <c r="F29" s="22" t="s">
        <v>30</v>
      </c>
      <c r="H29" s="25" t="s">
        <v>30</v>
      </c>
      <c r="I29" s="18" t="s">
        <v>73</v>
      </c>
      <c r="J29" s="3" t="s">
        <v>58</v>
      </c>
      <c r="K29" s="3" t="s">
        <v>59</v>
      </c>
    </row>
    <row r="30" spans="2:11" ht="28.8">
      <c r="B30" s="3" t="s">
        <v>47</v>
      </c>
      <c r="C30" s="14">
        <v>1000</v>
      </c>
      <c r="D30" s="14" t="s">
        <v>48</v>
      </c>
      <c r="E30" s="14" t="e">
        <f>VLOOKUP(B30,H21:J28,2,FALSE)</f>
        <v>#N/A</v>
      </c>
      <c r="F30" s="22" t="e">
        <v>#N/A</v>
      </c>
      <c r="H30" s="25" t="e">
        <v>#N/A</v>
      </c>
      <c r="I30" s="19" t="e">
        <f>VLOOKUP("P009",#REF!, 2, FALSE)</f>
        <v>#REF!</v>
      </c>
      <c r="J30" s="3" t="s">
        <v>60</v>
      </c>
      <c r="K30" s="3" t="s">
        <v>61</v>
      </c>
    </row>
    <row r="33" spans="2:5">
      <c r="B33" s="12"/>
      <c r="C33" s="9"/>
      <c r="D33" s="2"/>
      <c r="E33" s="2"/>
    </row>
    <row r="34" spans="2:5">
      <c r="B34" s="15" t="s">
        <v>34</v>
      </c>
      <c r="C34" s="16" t="s">
        <v>62</v>
      </c>
      <c r="D34" s="16" t="s">
        <v>35</v>
      </c>
      <c r="E34" s="16" t="s">
        <v>74</v>
      </c>
    </row>
    <row r="35" spans="2:5">
      <c r="B35" s="3" t="s">
        <v>37</v>
      </c>
      <c r="C35" s="14">
        <v>1000</v>
      </c>
      <c r="D35" s="14">
        <v>10</v>
      </c>
      <c r="E35" s="14">
        <f>IFERROR(C35/D35,"Check Data")</f>
        <v>100</v>
      </c>
    </row>
    <row r="36" spans="2:5">
      <c r="B36" s="3" t="s">
        <v>38</v>
      </c>
      <c r="C36" s="14">
        <v>500</v>
      </c>
      <c r="D36" s="14">
        <v>0</v>
      </c>
      <c r="E36" s="14" t="str">
        <f t="shared" ref="E36:E43" si="3">IFERROR(C36/D36,"Check Data")</f>
        <v>Check Data</v>
      </c>
    </row>
    <row r="37" spans="2:5">
      <c r="B37" s="3" t="s">
        <v>39</v>
      </c>
      <c r="C37" s="14" t="s">
        <v>4</v>
      </c>
      <c r="D37" s="14">
        <v>8</v>
      </c>
      <c r="E37" s="14" t="str">
        <f t="shared" si="3"/>
        <v>Check Data</v>
      </c>
    </row>
    <row r="38" spans="2:5">
      <c r="B38" s="3" t="s">
        <v>40</v>
      </c>
      <c r="C38" s="14">
        <v>800</v>
      </c>
      <c r="D38" s="14" t="s">
        <v>41</v>
      </c>
      <c r="E38" s="14" t="str">
        <f t="shared" si="3"/>
        <v>Check Data</v>
      </c>
    </row>
    <row r="39" spans="2:5">
      <c r="B39" s="3" t="s">
        <v>42</v>
      </c>
      <c r="C39" s="14">
        <v>400</v>
      </c>
      <c r="D39" s="14">
        <v>5</v>
      </c>
      <c r="E39" s="14">
        <f t="shared" si="3"/>
        <v>80</v>
      </c>
    </row>
    <row r="40" spans="2:5">
      <c r="B40" s="3" t="s">
        <v>44</v>
      </c>
      <c r="C40" s="14">
        <v>700</v>
      </c>
      <c r="D40" s="14">
        <v>-3</v>
      </c>
      <c r="E40" s="14">
        <f>IFERROR(C40/D40,"Check Data")</f>
        <v>-233.33333333333334</v>
      </c>
    </row>
    <row r="41" spans="2:5">
      <c r="B41" s="3" t="s">
        <v>45</v>
      </c>
      <c r="C41" s="14">
        <v>900</v>
      </c>
      <c r="D41" s="14">
        <v>10</v>
      </c>
      <c r="E41" s="14">
        <f t="shared" si="3"/>
        <v>90</v>
      </c>
    </row>
    <row r="42" spans="2:5">
      <c r="B42" s="3" t="s">
        <v>46</v>
      </c>
      <c r="C42" s="14">
        <v>600</v>
      </c>
      <c r="D42" s="14">
        <v>6</v>
      </c>
      <c r="E42" s="14">
        <f t="shared" si="3"/>
        <v>100</v>
      </c>
    </row>
    <row r="43" spans="2:5" ht="28.8">
      <c r="B43" s="3" t="s">
        <v>47</v>
      </c>
      <c r="C43" s="14">
        <v>1000</v>
      </c>
      <c r="D43" s="14" t="s">
        <v>48</v>
      </c>
      <c r="E43" s="14" t="str">
        <f t="shared" si="3"/>
        <v>Check Data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4F5B-32B7-4A36-9088-4E26974E2A8E}">
  <dimension ref="A1:J30"/>
  <sheetViews>
    <sheetView workbookViewId="0">
      <selection activeCell="D1" sqref="D1"/>
    </sheetView>
  </sheetViews>
  <sheetFormatPr defaultRowHeight="14.4"/>
  <cols>
    <col min="1" max="1" width="10.44140625" bestFit="1" customWidth="1"/>
    <col min="2" max="2" width="16.77734375" bestFit="1" customWidth="1"/>
    <col min="3" max="3" width="20.5546875" bestFit="1" customWidth="1"/>
    <col min="4" max="4" width="15.77734375" bestFit="1" customWidth="1"/>
    <col min="5" max="5" width="6.5546875" bestFit="1" customWidth="1"/>
    <col min="6" max="7" width="9.33203125" bestFit="1" customWidth="1"/>
    <col min="9" max="9" width="21.77734375" bestFit="1" customWidth="1"/>
    <col min="10" max="10" width="20.5546875" bestFit="1" customWidth="1"/>
  </cols>
  <sheetData>
    <row r="1" spans="1:10" ht="18">
      <c r="A1" s="27" t="s">
        <v>75</v>
      </c>
      <c r="B1" s="28" t="s">
        <v>76</v>
      </c>
      <c r="C1" s="28" t="s">
        <v>77</v>
      </c>
    </row>
    <row r="2" spans="1:10">
      <c r="A2" s="29">
        <v>100</v>
      </c>
      <c r="B2" s="6" t="str">
        <f>VLOOKUP(A2,A5:F13,2,1)</f>
        <v>Mobile Stand</v>
      </c>
      <c r="C2">
        <f>VLOOKUP(A2,A5:F13,6,0)</f>
        <v>700</v>
      </c>
    </row>
    <row r="3" spans="1:10">
      <c r="A3" s="24"/>
    </row>
    <row r="4" spans="1:10" ht="18">
      <c r="A4" s="27" t="s">
        <v>75</v>
      </c>
      <c r="B4" s="28" t="s">
        <v>76</v>
      </c>
      <c r="C4" s="28" t="s">
        <v>78</v>
      </c>
      <c r="D4" s="28" t="s">
        <v>79</v>
      </c>
      <c r="E4" s="28" t="s">
        <v>80</v>
      </c>
      <c r="F4" s="28" t="s">
        <v>77</v>
      </c>
      <c r="I4" s="33" t="s">
        <v>93</v>
      </c>
      <c r="J4" s="33" t="s">
        <v>94</v>
      </c>
    </row>
    <row r="5" spans="1:10">
      <c r="A5" s="29">
        <v>100</v>
      </c>
      <c r="B5" s="6" t="s">
        <v>81</v>
      </c>
      <c r="C5" s="6" t="s">
        <v>82</v>
      </c>
      <c r="D5" s="6">
        <v>10</v>
      </c>
      <c r="E5" s="6">
        <v>70</v>
      </c>
      <c r="F5" s="6">
        <f>D5*E5</f>
        <v>700</v>
      </c>
      <c r="I5">
        <f>VLOOKUP(A5,A5:F13,5,0)</f>
        <v>70</v>
      </c>
      <c r="J5">
        <f>LOOKUP(A5,A5:A13,E5:E13)</f>
        <v>70</v>
      </c>
    </row>
    <row r="6" spans="1:10">
      <c r="A6" s="29">
        <v>101</v>
      </c>
      <c r="B6" s="6" t="s">
        <v>83</v>
      </c>
      <c r="C6" s="6" t="s">
        <v>84</v>
      </c>
      <c r="D6" s="6">
        <v>12</v>
      </c>
      <c r="E6" s="6">
        <v>40</v>
      </c>
      <c r="F6" s="6">
        <f t="shared" ref="F6:F13" si="0">D6*E6</f>
        <v>480</v>
      </c>
      <c r="I6">
        <f t="shared" ref="I6:I13" si="1">VLOOKUP(A6,A6:F14,5,0)</f>
        <v>40</v>
      </c>
      <c r="J6">
        <f t="shared" ref="J6:J13" si="2">LOOKUP(A6,A6:A14,E6:E14)</f>
        <v>40</v>
      </c>
    </row>
    <row r="7" spans="1:10">
      <c r="A7" s="29">
        <v>102</v>
      </c>
      <c r="B7" s="6" t="s">
        <v>8</v>
      </c>
      <c r="C7" s="6" t="s">
        <v>82</v>
      </c>
      <c r="D7" s="6">
        <v>5</v>
      </c>
      <c r="E7" s="6">
        <v>210</v>
      </c>
      <c r="F7" s="6">
        <f t="shared" si="0"/>
        <v>1050</v>
      </c>
      <c r="I7">
        <f t="shared" si="1"/>
        <v>210</v>
      </c>
      <c r="J7">
        <f t="shared" si="2"/>
        <v>210</v>
      </c>
    </row>
    <row r="8" spans="1:10">
      <c r="A8" s="29">
        <v>103</v>
      </c>
      <c r="B8" s="6" t="s">
        <v>85</v>
      </c>
      <c r="C8" s="6" t="s">
        <v>84</v>
      </c>
      <c r="D8" s="6">
        <v>5</v>
      </c>
      <c r="E8" s="6">
        <v>599</v>
      </c>
      <c r="F8" s="6">
        <f t="shared" si="0"/>
        <v>2995</v>
      </c>
      <c r="I8">
        <f t="shared" si="1"/>
        <v>599</v>
      </c>
      <c r="J8">
        <f t="shared" si="2"/>
        <v>599</v>
      </c>
    </row>
    <row r="9" spans="1:10">
      <c r="A9" s="29">
        <v>104</v>
      </c>
      <c r="B9" s="6" t="s">
        <v>86</v>
      </c>
      <c r="C9" s="6" t="s">
        <v>87</v>
      </c>
      <c r="D9" s="6">
        <v>8</v>
      </c>
      <c r="E9" s="6">
        <v>1250</v>
      </c>
      <c r="F9" s="6">
        <f t="shared" si="0"/>
        <v>10000</v>
      </c>
      <c r="I9">
        <f t="shared" si="1"/>
        <v>1250</v>
      </c>
      <c r="J9">
        <f t="shared" si="2"/>
        <v>1250</v>
      </c>
    </row>
    <row r="10" spans="1:10">
      <c r="A10" s="29">
        <v>105</v>
      </c>
      <c r="B10" s="6" t="s">
        <v>88</v>
      </c>
      <c r="C10" s="6" t="s">
        <v>82</v>
      </c>
      <c r="D10" s="6">
        <v>20</v>
      </c>
      <c r="E10" s="6">
        <v>300</v>
      </c>
      <c r="F10" s="6">
        <f t="shared" si="0"/>
        <v>6000</v>
      </c>
      <c r="I10">
        <f t="shared" si="1"/>
        <v>300</v>
      </c>
      <c r="J10">
        <f t="shared" si="2"/>
        <v>300</v>
      </c>
    </row>
    <row r="11" spans="1:10">
      <c r="A11" s="29">
        <v>106</v>
      </c>
      <c r="B11" s="6" t="s">
        <v>89</v>
      </c>
      <c r="C11" s="6" t="s">
        <v>84</v>
      </c>
      <c r="D11" s="6">
        <v>50</v>
      </c>
      <c r="E11" s="6">
        <v>799</v>
      </c>
      <c r="F11" s="6">
        <f t="shared" si="0"/>
        <v>39950</v>
      </c>
      <c r="I11">
        <f t="shared" si="1"/>
        <v>799</v>
      </c>
      <c r="J11">
        <f t="shared" si="2"/>
        <v>799</v>
      </c>
    </row>
    <row r="12" spans="1:10">
      <c r="A12" s="29">
        <v>107</v>
      </c>
      <c r="B12" s="6" t="s">
        <v>90</v>
      </c>
      <c r="C12" s="6" t="s">
        <v>91</v>
      </c>
      <c r="D12" s="6">
        <v>10</v>
      </c>
      <c r="E12" s="6">
        <v>200</v>
      </c>
      <c r="F12" s="6">
        <f t="shared" si="0"/>
        <v>2000</v>
      </c>
      <c r="I12">
        <f t="shared" si="1"/>
        <v>200</v>
      </c>
      <c r="J12">
        <f t="shared" si="2"/>
        <v>200</v>
      </c>
    </row>
    <row r="13" spans="1:10">
      <c r="A13" s="29">
        <v>108</v>
      </c>
      <c r="B13" s="6" t="s">
        <v>92</v>
      </c>
      <c r="C13" s="6" t="s">
        <v>82</v>
      </c>
      <c r="D13" s="6">
        <v>5</v>
      </c>
      <c r="E13" s="6">
        <v>310</v>
      </c>
      <c r="F13" s="6">
        <f t="shared" si="0"/>
        <v>1550</v>
      </c>
      <c r="I13">
        <f t="shared" si="1"/>
        <v>310</v>
      </c>
      <c r="J13">
        <f t="shared" si="2"/>
        <v>310</v>
      </c>
    </row>
    <row r="14" spans="1:10">
      <c r="A14" s="24"/>
    </row>
    <row r="15" spans="1:10">
      <c r="A15" s="24"/>
    </row>
    <row r="16" spans="1:10">
      <c r="A16" s="24"/>
    </row>
    <row r="17" spans="1:7" ht="18">
      <c r="A17" s="24"/>
      <c r="B17" s="27" t="s">
        <v>75</v>
      </c>
      <c r="C17" s="28" t="s">
        <v>78</v>
      </c>
    </row>
    <row r="18" spans="1:7" ht="18">
      <c r="A18" s="24"/>
      <c r="B18" s="30">
        <v>107</v>
      </c>
      <c r="C18" s="31" t="str">
        <f>VLOOKUP(B18,A5:F13,3,0)</f>
        <v>Store 100</v>
      </c>
    </row>
    <row r="19" spans="1:7">
      <c r="A19" s="24"/>
    </row>
    <row r="20" spans="1:7" ht="18">
      <c r="A20" s="24"/>
      <c r="B20" s="28" t="s">
        <v>76</v>
      </c>
      <c r="C20" s="27" t="s">
        <v>75</v>
      </c>
      <c r="D20" s="28" t="s">
        <v>78</v>
      </c>
      <c r="E20" s="28" t="s">
        <v>79</v>
      </c>
      <c r="F20" s="28" t="s">
        <v>80</v>
      </c>
      <c r="G20" s="28" t="s">
        <v>77</v>
      </c>
    </row>
    <row r="21" spans="1:7">
      <c r="A21" s="24"/>
      <c r="B21" s="6" t="s">
        <v>81</v>
      </c>
      <c r="C21" s="29">
        <v>100</v>
      </c>
      <c r="D21" s="6" t="s">
        <v>82</v>
      </c>
      <c r="E21" s="6">
        <v>10</v>
      </c>
      <c r="F21" s="6">
        <v>70</v>
      </c>
      <c r="G21" s="6">
        <f>E21*F21</f>
        <v>700</v>
      </c>
    </row>
    <row r="22" spans="1:7">
      <c r="A22" s="24"/>
      <c r="B22" s="6" t="s">
        <v>83</v>
      </c>
      <c r="C22" s="29">
        <v>101</v>
      </c>
      <c r="D22" s="6" t="s">
        <v>84</v>
      </c>
      <c r="E22" s="6">
        <v>12</v>
      </c>
      <c r="F22" s="6">
        <v>40</v>
      </c>
      <c r="G22" s="6">
        <f t="shared" ref="G22:G29" si="3">E22*F22</f>
        <v>480</v>
      </c>
    </row>
    <row r="23" spans="1:7">
      <c r="A23" s="24"/>
      <c r="B23" s="6" t="s">
        <v>8</v>
      </c>
      <c r="C23" s="29">
        <v>102</v>
      </c>
      <c r="D23" s="6" t="s">
        <v>82</v>
      </c>
      <c r="E23" s="6">
        <v>5</v>
      </c>
      <c r="F23" s="6">
        <v>210</v>
      </c>
      <c r="G23" s="6">
        <f t="shared" si="3"/>
        <v>1050</v>
      </c>
    </row>
    <row r="24" spans="1:7">
      <c r="A24" s="24"/>
      <c r="B24" s="6" t="s">
        <v>85</v>
      </c>
      <c r="C24" s="29">
        <v>103</v>
      </c>
      <c r="D24" s="6" t="s">
        <v>84</v>
      </c>
      <c r="E24" s="6">
        <v>5</v>
      </c>
      <c r="F24" s="6">
        <v>599</v>
      </c>
      <c r="G24" s="6">
        <f t="shared" si="3"/>
        <v>2995</v>
      </c>
    </row>
    <row r="25" spans="1:7">
      <c r="A25" s="24"/>
      <c r="B25" s="6" t="s">
        <v>86</v>
      </c>
      <c r="C25" s="29">
        <v>104</v>
      </c>
      <c r="D25" s="6" t="s">
        <v>87</v>
      </c>
      <c r="E25" s="6">
        <v>8</v>
      </c>
      <c r="F25" s="6">
        <v>1250</v>
      </c>
      <c r="G25" s="6">
        <f t="shared" si="3"/>
        <v>10000</v>
      </c>
    </row>
    <row r="26" spans="1:7">
      <c r="A26" s="24"/>
      <c r="B26" s="6" t="s">
        <v>88</v>
      </c>
      <c r="C26" s="29">
        <v>105</v>
      </c>
      <c r="D26" s="6" t="s">
        <v>82</v>
      </c>
      <c r="E26" s="6">
        <v>20</v>
      </c>
      <c r="F26" s="6">
        <v>300</v>
      </c>
      <c r="G26" s="6">
        <f t="shared" si="3"/>
        <v>6000</v>
      </c>
    </row>
    <row r="27" spans="1:7">
      <c r="A27" s="24"/>
      <c r="B27" s="6" t="s">
        <v>89</v>
      </c>
      <c r="C27" s="29">
        <v>106</v>
      </c>
      <c r="D27" s="6" t="s">
        <v>84</v>
      </c>
      <c r="E27" s="6">
        <v>50</v>
      </c>
      <c r="F27" s="6">
        <v>799</v>
      </c>
      <c r="G27" s="6">
        <f t="shared" si="3"/>
        <v>39950</v>
      </c>
    </row>
    <row r="28" spans="1:7">
      <c r="A28" s="24"/>
      <c r="B28" s="6" t="s">
        <v>8</v>
      </c>
      <c r="C28" s="29">
        <v>107</v>
      </c>
      <c r="D28" s="6" t="s">
        <v>91</v>
      </c>
      <c r="E28" s="6">
        <v>10</v>
      </c>
      <c r="F28" s="6">
        <v>200</v>
      </c>
      <c r="G28" s="6">
        <f t="shared" si="3"/>
        <v>2000</v>
      </c>
    </row>
    <row r="29" spans="1:7">
      <c r="A29" s="24"/>
      <c r="B29" s="6" t="s">
        <v>88</v>
      </c>
      <c r="C29" s="29">
        <v>108</v>
      </c>
      <c r="D29" s="6" t="s">
        <v>82</v>
      </c>
      <c r="E29" s="6">
        <v>5</v>
      </c>
      <c r="F29" s="6">
        <v>310</v>
      </c>
      <c r="G29" s="6">
        <f t="shared" si="3"/>
        <v>1550</v>
      </c>
    </row>
    <row r="30" spans="1:7">
      <c r="A30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IfError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rvpandey2025@outlook.com</dc:creator>
  <cp:lastModifiedBy>Siddhesh Mestry</cp:lastModifiedBy>
  <dcterms:created xsi:type="dcterms:W3CDTF">2025-08-19T03:46:44Z</dcterms:created>
  <dcterms:modified xsi:type="dcterms:W3CDTF">2025-08-21T15:36:16Z</dcterms:modified>
</cp:coreProperties>
</file>