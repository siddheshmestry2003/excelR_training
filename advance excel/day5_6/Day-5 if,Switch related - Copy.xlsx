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day5_6\"/>
    </mc:Choice>
  </mc:AlternateContent>
  <xr:revisionPtr revIDLastSave="0" documentId="13_ncr:1_{55263E59-970F-43F2-A978-837880605369}" xr6:coauthVersionLast="47" xr6:coauthVersionMax="47" xr10:uidLastSave="{00000000-0000-0000-0000-000000000000}"/>
  <bookViews>
    <workbookView xWindow="-108" yWindow="-108" windowWidth="23256" windowHeight="12456" tabRatio="922" activeTab="4" xr2:uid="{5DF88500-1ECC-45E0-A7D6-D50A49F96BE2}"/>
  </bookViews>
  <sheets>
    <sheet name="IF" sheetId="4" r:id="rId1"/>
    <sheet name="IFs" sheetId="13" r:id="rId2"/>
    <sheet name="IF And" sheetId="5" r:id="rId3"/>
    <sheet name="IF Or" sheetId="6" r:id="rId4"/>
    <sheet name="Switch" sheetId="14" r:id="rId5"/>
  </sheets>
  <definedNames>
    <definedName name="_xlnm._FilterDatabase" localSheetId="0" hidden="1">IF!$B$16:$D$21</definedName>
    <definedName name="_xlnm._FilterDatabase" localSheetId="2" hidden="1">'IF And'!$B$3:$D$8</definedName>
    <definedName name="_xlnm._FilterDatabase" localSheetId="3" hidden="1">'IF Or'!#REF!</definedName>
    <definedName name="_xlnm._FilterDatabase" localSheetId="1" hidden="1">IFs!#REF!</definedName>
    <definedName name="_xlnm._FilterDatabase" localSheetId="4" hidden="1">Switch!#REF!</definedName>
    <definedName name="aaa">_xlfn.XLOOKUP(#REF!,#REF!,#REF!)</definedName>
    <definedName name="abc">_xlfn.XLOOKUP(#REF!,#REF!,#REF!)</definedName>
    <definedName name="abcd">_xlfn.XLOOKUP(#REF!,#REF!,#REF!)</definedName>
    <definedName name="xyz">_xlfn.XLOOKUP(#REF!,#REF!,#REF!)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4" l="1" a="1"/>
  <c r="G25" i="14" s="1"/>
  <c r="G26" i="14" a="1"/>
  <c r="G26" i="14" s="1"/>
  <c r="G27" i="14" a="1"/>
  <c r="G27" i="14" s="1"/>
  <c r="G28" i="14" a="1"/>
  <c r="G28" i="14"/>
  <c r="G24" i="14" a="1"/>
  <c r="G24" i="14" s="1"/>
  <c r="E13" i="14" a="1"/>
  <c r="E13" i="14" s="1"/>
  <c r="E14" i="14" a="1"/>
  <c r="E14" i="14" s="1"/>
  <c r="E15" i="14" a="1"/>
  <c r="E15" i="14" s="1"/>
  <c r="E16" i="14" a="1"/>
  <c r="E16" i="14" s="1"/>
  <c r="E17" i="14" a="1"/>
  <c r="E17" i="14" s="1"/>
  <c r="E12" i="14" a="1"/>
  <c r="E12" i="14" s="1"/>
  <c r="D5" i="14" a="1"/>
  <c r="D5" i="14"/>
  <c r="D6" i="14" a="1"/>
  <c r="D6" i="14" s="1"/>
  <c r="D7" i="14" a="1"/>
  <c r="D7" i="14" s="1"/>
  <c r="D8" i="14" a="1"/>
  <c r="D8" i="14" s="1"/>
  <c r="D4" i="14" a="1"/>
  <c r="D4" i="14" s="1"/>
  <c r="F25" i="14"/>
  <c r="F26" i="14"/>
  <c r="F27" i="14"/>
  <c r="F28" i="14"/>
  <c r="F24" i="14"/>
  <c r="D13" i="6"/>
  <c r="D14" i="6"/>
  <c r="D15" i="6"/>
  <c r="D16" i="6"/>
  <c r="D12" i="6"/>
  <c r="F5" i="6"/>
  <c r="F6" i="6"/>
  <c r="F7" i="6"/>
  <c r="F8" i="6"/>
  <c r="F4" i="6"/>
  <c r="E5" i="6"/>
  <c r="E6" i="6"/>
  <c r="E7" i="6"/>
  <c r="E8" i="6"/>
  <c r="E4" i="6"/>
  <c r="E12" i="5"/>
  <c r="E13" i="5"/>
  <c r="E14" i="5"/>
  <c r="E15" i="5"/>
  <c r="E11" i="5"/>
  <c r="F4" i="5"/>
  <c r="F5" i="5"/>
  <c r="F6" i="5"/>
  <c r="F7" i="5"/>
  <c r="F8" i="5"/>
  <c r="D14" i="13" a="1"/>
  <c r="D14" i="13"/>
  <c r="D15" i="13" a="1"/>
  <c r="D15" i="13"/>
  <c r="D16" i="13" a="1"/>
  <c r="D16" i="13" s="1"/>
  <c r="D13" i="13" a="1"/>
  <c r="D13" i="13" s="1"/>
  <c r="D5" i="13" a="1"/>
  <c r="D5" i="13" s="1"/>
  <c r="D6" i="13" a="1"/>
  <c r="D6" i="13"/>
  <c r="D7" i="13" a="1"/>
  <c r="D7" i="13" s="1"/>
  <c r="D8" i="13" a="1"/>
  <c r="D8" i="13" s="1"/>
  <c r="D4" i="13" a="1"/>
  <c r="D4" i="13"/>
  <c r="E33" i="4"/>
  <c r="E34" i="4"/>
  <c r="E35" i="4"/>
  <c r="E36" i="4"/>
  <c r="E32" i="4"/>
  <c r="D25" i="4"/>
  <c r="D26" i="4"/>
  <c r="D27" i="4"/>
  <c r="D28" i="4"/>
  <c r="D24" i="4"/>
  <c r="D18" i="4"/>
  <c r="D19" i="4"/>
  <c r="D20" i="4"/>
  <c r="D21" i="4"/>
  <c r="D17" i="4"/>
  <c r="G5" i="6"/>
  <c r="G6" i="6"/>
  <c r="G7" i="6"/>
  <c r="G8" i="6"/>
  <c r="G4" i="6"/>
  <c r="E21" i="5"/>
  <c r="E22" i="5"/>
  <c r="E23" i="5"/>
  <c r="E24" i="5"/>
  <c r="E2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<sst xmlns="http://schemas.openxmlformats.org/spreadsheetml/2006/main" count="199" uniqueCount="127">
  <si>
    <t>Amount</t>
  </si>
  <si>
    <t>#1</t>
  </si>
  <si>
    <t>Total Amount</t>
  </si>
  <si>
    <t>Stu_Name</t>
  </si>
  <si>
    <t>Marks</t>
  </si>
  <si>
    <t>Result Status</t>
  </si>
  <si>
    <t>if student marks is grater than or equal to 40, display result status "PASS" otherwise display result status "FAIL"</t>
  </si>
  <si>
    <t>Raj</t>
  </si>
  <si>
    <t>Anil Lumar</t>
  </si>
  <si>
    <t>Naresh</t>
  </si>
  <si>
    <t>Aman</t>
  </si>
  <si>
    <t>Sunil Kumar</t>
  </si>
  <si>
    <t>1#</t>
  </si>
  <si>
    <t>2#</t>
  </si>
  <si>
    <t>if student marks is less than 40, display "FAIL" otherwise leave the cell blank</t>
  </si>
  <si>
    <t>Extract the name of failed students (marks&lt;40)</t>
  </si>
  <si>
    <t>3#</t>
  </si>
  <si>
    <t>4#</t>
  </si>
  <si>
    <t>Add  5 grace marks if student marks is less than 40</t>
  </si>
  <si>
    <t>Emp_Name</t>
  </si>
  <si>
    <t>Working Shift</t>
  </si>
  <si>
    <t>Salary</t>
  </si>
  <si>
    <t>New Salary</t>
  </si>
  <si>
    <t>Morning</t>
  </si>
  <si>
    <t>Evening</t>
  </si>
  <si>
    <t>Night</t>
  </si>
  <si>
    <t>Increase 5% salary of employees whose working shift is NIGHT</t>
  </si>
  <si>
    <t>5#</t>
  </si>
  <si>
    <t>Phy</t>
  </si>
  <si>
    <t>Che</t>
  </si>
  <si>
    <t>Math</t>
  </si>
  <si>
    <t>If student obtained marks grater than or eqaul to 40 in all subjects, display result status "PASS" otherwise display "FAIL"</t>
  </si>
  <si>
    <t>Order No.</t>
  </si>
  <si>
    <t>Progress</t>
  </si>
  <si>
    <t>Delivery Date</t>
  </si>
  <si>
    <t>Status</t>
  </si>
  <si>
    <t>Delivered</t>
  </si>
  <si>
    <t>In Transit</t>
  </si>
  <si>
    <t>#2</t>
  </si>
  <si>
    <t>Closed</t>
  </si>
  <si>
    <t>Open</t>
  </si>
  <si>
    <t>Display the status CLOSED if progress is "delivered" and delivery date is not empty</t>
  </si>
  <si>
    <t>Cancelled</t>
  </si>
  <si>
    <t>QTY</t>
  </si>
  <si>
    <t>Unit Price</t>
  </si>
  <si>
    <t>Discount (5%)</t>
  </si>
  <si>
    <t>1 : if QTY is grater than or eqal to 15, OR</t>
  </si>
  <si>
    <t>2: Unit price is grater than or equal to 1200.</t>
  </si>
  <si>
    <t>Display the status CLOSED if progress is "delivered" or "cancelled"</t>
  </si>
  <si>
    <t>#3</t>
  </si>
  <si>
    <t>Product_Name</t>
  </si>
  <si>
    <t>Grade</t>
  </si>
  <si>
    <t>Grading Scale :</t>
  </si>
  <si>
    <t>Equal to or grater than 80% =A</t>
  </si>
  <si>
    <t>Equal to or grater than 60% =B</t>
  </si>
  <si>
    <t>Equal to or grater than 50% =c</t>
  </si>
  <si>
    <t>Less than 50%=D</t>
  </si>
  <si>
    <t>Product</t>
  </si>
  <si>
    <t>Rating</t>
  </si>
  <si>
    <t>Rating Scale :</t>
  </si>
  <si>
    <t>Equal to 5 = Excellent</t>
  </si>
  <si>
    <t>Equal to 4= Very Good</t>
  </si>
  <si>
    <t>Equal to 3= Good</t>
  </si>
  <si>
    <t>Equal to 2= Poor</t>
  </si>
  <si>
    <t>Equal to 1= Very Poor</t>
  </si>
  <si>
    <t>Product ID</t>
  </si>
  <si>
    <t>Category</t>
  </si>
  <si>
    <t>Discount %</t>
  </si>
  <si>
    <t>Fitness</t>
  </si>
  <si>
    <t>Office</t>
  </si>
  <si>
    <t>Kitchen</t>
  </si>
  <si>
    <t>Décor</t>
  </si>
  <si>
    <t>Wallpaper</t>
  </si>
  <si>
    <t>Coffee Mug</t>
  </si>
  <si>
    <t>Laptop Desk</t>
  </si>
  <si>
    <t>Juicer</t>
  </si>
  <si>
    <t>Yoga Mat</t>
  </si>
  <si>
    <t>Dinner Set</t>
  </si>
  <si>
    <t>Cashback</t>
  </si>
  <si>
    <t>Calculate the Cashback of 5% for CLOSED Orders with the amount grater than or equal to 10,000</t>
  </si>
  <si>
    <t>Grace Marks 5</t>
  </si>
  <si>
    <t>Indicate the discounted orders (Yes/No) and Apply 5% discount if either of these condition is met. Otherwise return full price.</t>
  </si>
  <si>
    <t>Saller</t>
  </si>
  <si>
    <t>Cmmission ?</t>
  </si>
  <si>
    <t>A</t>
  </si>
  <si>
    <t>B</t>
  </si>
  <si>
    <t>D</t>
  </si>
  <si>
    <t>E</t>
  </si>
  <si>
    <t>Sales grater than or equal to 100000 = 10%</t>
  </si>
  <si>
    <t>Less Than 50000 = 2%</t>
  </si>
  <si>
    <t>Sales</t>
  </si>
  <si>
    <t>Sales grater than or equal to 50000 = 5%</t>
  </si>
  <si>
    <r>
      <rPr>
        <b/>
        <sz val="24"/>
        <color rgb="FFC00000"/>
        <rFont val="Eras Demi ITC"/>
        <family val="2"/>
      </rPr>
      <t>IF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</si>
  <si>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t>Requirements</t>
  </si>
  <si>
    <r>
      <rPr>
        <b/>
        <sz val="24"/>
        <color rgb="FFC00000"/>
        <rFont val="Eras Demi ITC"/>
        <family val="2"/>
      </rPr>
      <t>IFs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</si>
  <si>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r>
      <t xml:space="preserve"> </t>
    </r>
    <r>
      <rPr>
        <b/>
        <sz val="24"/>
        <color rgb="FFC00000"/>
        <rFont val="Eras Demi ITC"/>
        <family val="2"/>
      </rPr>
      <t>IF + AND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</si>
  <si>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r>
      <t xml:space="preserve"> </t>
    </r>
    <r>
      <rPr>
        <b/>
        <sz val="24"/>
        <color rgb="FFC00000"/>
        <rFont val="Eras Demi ITC"/>
        <family val="2"/>
      </rPr>
      <t>IF + OR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</si>
  <si>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r>
      <rPr>
        <b/>
        <sz val="24"/>
        <color rgb="FFC00000"/>
        <rFont val="Eras Demi ITC"/>
        <family val="2"/>
      </rPr>
      <t>Switch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</si>
  <si>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t>Score Range</t>
  </si>
  <si>
    <t>90–100</t>
  </si>
  <si>
    <t>80–89</t>
  </si>
  <si>
    <t>70–79</t>
  </si>
  <si>
    <t>C</t>
  </si>
  <si>
    <t>60–69</t>
  </si>
  <si>
    <t>&lt;60</t>
  </si>
  <si>
    <t>F</t>
  </si>
  <si>
    <t>A (Score)</t>
  </si>
  <si>
    <t>B (Grade - IF)</t>
  </si>
  <si>
    <t>C (Grade - SWITCH)</t>
  </si>
  <si>
    <t>Solutions</t>
  </si>
  <si>
    <t>Case study</t>
  </si>
  <si>
    <t>IF(logical_test, value_if_true, value_if_false)</t>
  </si>
  <si>
    <t>IF(condition1, value_if_true1, IF(condition2, value_if_true2, value_if_false2))</t>
  </si>
  <si>
    <t>If Function format</t>
  </si>
  <si>
    <t>IFS(condition1, value1, condition2, value2, ..., TRUE, default_value)</t>
  </si>
  <si>
    <t>SWITCH(expression, value1, result1, [value2, result2], ..., [default])</t>
  </si>
  <si>
    <t>expression: The value or expression you want to compare.</t>
  </si>
  <si>
    <t>value1, result1: The first value to compare and the result if it matches.</t>
  </si>
  <si>
    <t>[value2, result2]: Optional additional values and results.</t>
  </si>
  <si>
    <t>[default]: Optional value returned if no matches are found.</t>
  </si>
  <si>
    <r>
      <t>logical_test</t>
    </r>
    <r>
      <rPr>
        <sz val="11"/>
        <color theme="1"/>
        <rFont val="Aptos Narrow"/>
        <family val="2"/>
        <scheme val="minor"/>
      </rPr>
      <t xml:space="preserve"> – the condition you want to check (e.g., A1&gt;10)</t>
    </r>
  </si>
  <si>
    <r>
      <t>value_if_true</t>
    </r>
    <r>
      <rPr>
        <sz val="11"/>
        <color theme="1"/>
        <rFont val="Aptos Narrow"/>
        <family val="2"/>
        <scheme val="minor"/>
      </rPr>
      <t xml:space="preserve"> – what to return if the condition is TRUE</t>
    </r>
  </si>
  <si>
    <r>
      <t>value_if_false</t>
    </r>
    <r>
      <rPr>
        <sz val="11"/>
        <color theme="1"/>
        <rFont val="Aptos Narrow"/>
        <family val="2"/>
        <scheme val="minor"/>
      </rPr>
      <t xml:space="preserve"> – what to return if the condition is FALSE</t>
    </r>
  </si>
  <si>
    <t>Ifs Function format</t>
  </si>
  <si>
    <t>Nested If Function format</t>
  </si>
  <si>
    <t>Switch Function format</t>
  </si>
  <si>
    <t>If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</si>
</sst>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0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Eras Demi ITC"/>
      <family val="2"/>
    </font>
    <font>
      <b/>
      <sz val="24"/>
      <color rgb="FFC00000"/>
      <name val="Eras Demi ITC"/>
      <family val="2"/>
    </font>
    <font>
      <sz val="24"/>
      <color theme="1"/>
      <name val="Eras Demi ITC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vertical="center"/>
    </xf>
    <xf numFmtId="14" fontId="0" fillId="0" borderId="1" xfId="0" applyNumberFormat="1" applyBorder="1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20" fontId="2" fillId="0" borderId="0" xfId="0" applyNumberFormat="1" applyFont="1" applyAlignment="1">
      <alignment horizontal="left"/>
    </xf>
    <xf numFmtId="9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0" fillId="0" borderId="0" xfId="0" applyAlignment="1">
      <alignment horizontal="left" vertical="top" wrapText="1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0" fontId="0" fillId="0" borderId="0" xfId="0" applyNumberFormat="1"/>
    <xf numFmtId="0" fontId="0" fillId="7" borderId="0" xfId="0" applyFill="1" applyAlignment="1">
      <alignment horizontal="left"/>
    </xf>
    <xf numFmtId="0" fontId="0" fillId="7" borderId="0" xfId="0" applyFill="1"/>
    <xf numFmtId="0" fontId="7" fillId="0" borderId="0" xfId="0" applyFont="1"/>
    <xf numFmtId="0" fontId="8" fillId="0" borderId="0" xfId="0" applyFont="1"/>
    <xf numFmtId="0" fontId="6" fillId="0" borderId="0" xfId="0" applyFont="1"/>
    <xf numFmtId="0" fontId="0" fillId="8" borderId="0" xfId="0" applyFill="1"/>
    <xf numFmtId="0" fontId="3" fillId="0" borderId="0" xfId="0" applyFont="1" applyAlignment="1">
      <alignment vertical="center"/>
    </xf>
    <xf numFmtId="0" fontId="2" fillId="0" borderId="1" xfId="0" applyFont="1" applyBorder="1"/>
    <xf numFmtId="0" fontId="9" fillId="0" borderId="0" xfId="0" applyFont="1"/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E819-B5F8-47AC-8E35-774F65BB8143}">
  <sheetPr>
    <tabColor theme="8" tint="0.59999389629810485"/>
  </sheetPr>
  <dimension ref="B1:L36"/>
  <sheetViews>
    <sheetView zoomScale="115" zoomScaleNormal="100" workbookViewId="0">
      <pane ySplit="1" topLeftCell="A26" activePane="bottomLeft" state="frozen"/>
      <selection pane="bottomLeft" activeCell="E32" sqref="E32:E36"/>
    </sheetView>
  </sheetViews>
  <sheetFormatPr defaultRowHeight="18"/>
  <cols>
    <col min="2" max="2" width="14.1640625" style="5" customWidth="1"/>
    <col min="3" max="5" width="12.4140625" customWidth="1"/>
    <col min="6" max="6" width="9.1640625" customWidth="1"/>
  </cols>
  <sheetData>
    <row r="1" spans="2:12" s="6" customFormat="1" ht="33" customHeight="1">
      <c r="B1" s="7" t="s">
        <v>92</v>
      </c>
    </row>
    <row r="2" spans="2:12" ht="17.399999999999999" customHeight="1">
      <c r="B2" s="31" t="s">
        <v>113</v>
      </c>
      <c r="C2" s="31"/>
      <c r="D2" s="31"/>
      <c r="H2" s="31" t="s">
        <v>125</v>
      </c>
      <c r="I2" s="31"/>
      <c r="J2" s="31"/>
    </row>
    <row r="3" spans="2:12" ht="17.399999999999999" customHeight="1">
      <c r="B3" s="28" t="s">
        <v>111</v>
      </c>
      <c r="H3" t="s">
        <v>115</v>
      </c>
    </row>
    <row r="4" spans="2:12" ht="17.399999999999999" customHeight="1">
      <c r="B4" s="30" t="s">
        <v>120</v>
      </c>
      <c r="H4" s="29" t="s">
        <v>116</v>
      </c>
    </row>
    <row r="5" spans="2:12" ht="17.399999999999999" customHeight="1">
      <c r="B5" s="30" t="s">
        <v>121</v>
      </c>
      <c r="H5" s="29" t="s">
        <v>117</v>
      </c>
    </row>
    <row r="6" spans="2:12" ht="17.399999999999999" customHeight="1">
      <c r="B6" s="30" t="s">
        <v>122</v>
      </c>
      <c r="H6" s="29" t="s">
        <v>118</v>
      </c>
    </row>
    <row r="7" spans="2:12" ht="17.399999999999999" customHeight="1">
      <c r="B7"/>
      <c r="H7" s="29" t="s">
        <v>119</v>
      </c>
    </row>
    <row r="8" spans="2:12" ht="17.399999999999999" customHeight="1">
      <c r="B8" s="31" t="s">
        <v>123</v>
      </c>
      <c r="C8" s="31"/>
      <c r="D8" s="31"/>
    </row>
    <row r="9" spans="2:12" ht="17.399999999999999" customHeight="1">
      <c r="B9" s="34" t="s">
        <v>114</v>
      </c>
    </row>
    <row r="10" spans="2:12" ht="17.399999999999999" customHeight="1">
      <c r="B10"/>
    </row>
    <row r="11" spans="2:12" ht="17.399999999999999" customHeight="1">
      <c r="B11" s="31" t="s">
        <v>124</v>
      </c>
      <c r="C11" s="31"/>
      <c r="D11" s="31"/>
    </row>
    <row r="12" spans="2:12" ht="17.399999999999999" customHeight="1">
      <c r="B12" s="30" t="s">
        <v>112</v>
      </c>
    </row>
    <row r="13" spans="2:12" ht="17.399999999999999" customHeight="1">
      <c r="B13" s="32"/>
    </row>
    <row r="14" spans="2:12" ht="17.399999999999999" customHeight="1">
      <c r="B14" s="32"/>
    </row>
    <row r="15" spans="2:12">
      <c r="B15" s="5" t="s">
        <v>126</v>
      </c>
      <c r="F15" s="35" t="s">
        <v>93</v>
      </c>
      <c r="G15" s="35"/>
    </row>
    <row r="16" spans="2:12" ht="18" customHeight="1">
      <c r="B16" s="3" t="s">
        <v>3</v>
      </c>
      <c r="C16" s="2" t="s">
        <v>4</v>
      </c>
      <c r="D16" s="2" t="s">
        <v>5</v>
      </c>
      <c r="F16" s="9" t="s">
        <v>12</v>
      </c>
      <c r="G16" s="37" t="s">
        <v>6</v>
      </c>
      <c r="H16" s="37"/>
      <c r="I16" s="37"/>
      <c r="J16" s="37"/>
      <c r="K16" s="37"/>
      <c r="L16" s="19"/>
    </row>
    <row r="17" spans="2:12">
      <c r="B17" s="4" t="s">
        <v>7</v>
      </c>
      <c r="C17" s="1">
        <v>45</v>
      </c>
      <c r="D17" s="1" t="str">
        <f>IF(C17&gt;=40,"pass","false")</f>
        <v>pass</v>
      </c>
      <c r="G17" s="37"/>
      <c r="H17" s="37"/>
      <c r="I17" s="37"/>
      <c r="J17" s="37"/>
      <c r="K17" s="37"/>
      <c r="L17" s="19"/>
    </row>
    <row r="18" spans="2:12">
      <c r="B18" s="4" t="s">
        <v>8</v>
      </c>
      <c r="C18" s="1">
        <v>65</v>
      </c>
      <c r="D18" s="1" t="str">
        <f t="shared" ref="D18:D21" si="0">IF(C18&gt;=40,"pass","false")</f>
        <v>pass</v>
      </c>
      <c r="G18" s="37"/>
      <c r="H18" s="37"/>
      <c r="I18" s="37"/>
      <c r="J18" s="37"/>
      <c r="K18" s="37"/>
      <c r="L18" s="19"/>
    </row>
    <row r="19" spans="2:12" ht="18" customHeight="1">
      <c r="B19" s="4" t="s">
        <v>9</v>
      </c>
      <c r="C19" s="1">
        <v>11</v>
      </c>
      <c r="D19" s="1" t="str">
        <f t="shared" si="0"/>
        <v>false</v>
      </c>
      <c r="F19" s="9" t="s">
        <v>13</v>
      </c>
      <c r="G19" s="37" t="s">
        <v>14</v>
      </c>
      <c r="H19" s="37"/>
      <c r="I19" s="37"/>
      <c r="J19" s="37"/>
      <c r="K19" s="37"/>
      <c r="L19" s="19"/>
    </row>
    <row r="20" spans="2:12" ht="18.45" customHeight="1">
      <c r="B20" s="4" t="s">
        <v>10</v>
      </c>
      <c r="C20" s="1">
        <v>87</v>
      </c>
      <c r="D20" s="1" t="str">
        <f t="shared" si="0"/>
        <v>pass</v>
      </c>
      <c r="G20" s="37"/>
      <c r="H20" s="37"/>
      <c r="I20" s="37"/>
      <c r="J20" s="37"/>
      <c r="K20" s="37"/>
      <c r="L20" s="19"/>
    </row>
    <row r="21" spans="2:12">
      <c r="B21" s="4" t="s">
        <v>11</v>
      </c>
      <c r="C21" s="1">
        <v>33</v>
      </c>
      <c r="D21" s="1" t="str">
        <f t="shared" si="0"/>
        <v>false</v>
      </c>
      <c r="G21" s="37"/>
      <c r="H21" s="37"/>
      <c r="I21" s="37"/>
      <c r="J21" s="37"/>
      <c r="K21" s="37"/>
      <c r="L21" s="19"/>
    </row>
    <row r="23" spans="2:12">
      <c r="B23" s="3" t="s">
        <v>3</v>
      </c>
      <c r="C23" s="2" t="s">
        <v>4</v>
      </c>
      <c r="D23" s="2" t="s">
        <v>80</v>
      </c>
      <c r="F23" s="9" t="s">
        <v>16</v>
      </c>
      <c r="G23" t="s">
        <v>15</v>
      </c>
    </row>
    <row r="24" spans="2:12">
      <c r="B24" s="4" t="s">
        <v>7</v>
      </c>
      <c r="C24" s="1">
        <v>45</v>
      </c>
      <c r="D24" s="1">
        <f>IF(C24&lt;40,C24+5,C24)</f>
        <v>45</v>
      </c>
      <c r="F24" s="9" t="s">
        <v>17</v>
      </c>
      <c r="G24" t="s">
        <v>18</v>
      </c>
    </row>
    <row r="25" spans="2:12">
      <c r="B25" s="4" t="s">
        <v>8</v>
      </c>
      <c r="C25" s="1">
        <v>65</v>
      </c>
      <c r="D25" s="1">
        <f t="shared" ref="D25:D28" si="1">IF(C25&lt;40,C25+5,C25)</f>
        <v>65</v>
      </c>
    </row>
    <row r="26" spans="2:12">
      <c r="B26" s="4" t="s">
        <v>9</v>
      </c>
      <c r="C26" s="1">
        <v>11</v>
      </c>
      <c r="D26" s="1">
        <f t="shared" si="1"/>
        <v>16</v>
      </c>
    </row>
    <row r="27" spans="2:12">
      <c r="B27" s="4" t="s">
        <v>10</v>
      </c>
      <c r="C27" s="1">
        <v>87</v>
      </c>
      <c r="D27" s="1">
        <f t="shared" si="1"/>
        <v>87</v>
      </c>
    </row>
    <row r="28" spans="2:12">
      <c r="B28" s="4" t="s">
        <v>11</v>
      </c>
      <c r="C28" s="1">
        <v>33</v>
      </c>
      <c r="D28" s="1">
        <f t="shared" si="1"/>
        <v>38</v>
      </c>
    </row>
    <row r="31" spans="2:12" ht="18" customHeight="1">
      <c r="B31" s="3" t="s">
        <v>19</v>
      </c>
      <c r="C31" s="3" t="s">
        <v>20</v>
      </c>
      <c r="D31" s="3" t="s">
        <v>21</v>
      </c>
      <c r="E31" s="20" t="s">
        <v>22</v>
      </c>
      <c r="F31" s="9" t="s">
        <v>27</v>
      </c>
      <c r="G31" s="36" t="s">
        <v>26</v>
      </c>
      <c r="H31" s="36"/>
      <c r="I31" s="36"/>
      <c r="J31" s="36"/>
      <c r="K31" s="36"/>
      <c r="L31" s="36"/>
    </row>
    <row r="32" spans="2:12">
      <c r="B32" s="4" t="s">
        <v>7</v>
      </c>
      <c r="C32" s="1" t="s">
        <v>23</v>
      </c>
      <c r="D32" s="1">
        <v>10000</v>
      </c>
      <c r="E32" s="1">
        <f>IF(C32="Night",D32+D32*5%,D32)</f>
        <v>10000</v>
      </c>
    </row>
    <row r="33" spans="2:5">
      <c r="B33" s="4" t="s">
        <v>8</v>
      </c>
      <c r="C33" s="1" t="s">
        <v>24</v>
      </c>
      <c r="D33" s="1">
        <v>12000</v>
      </c>
      <c r="E33" s="1">
        <f t="shared" ref="E33:E36" si="2">IF(C33="Night",D33+D33*5%,D33)</f>
        <v>12000</v>
      </c>
    </row>
    <row r="34" spans="2:5">
      <c r="B34" s="4" t="s">
        <v>9</v>
      </c>
      <c r="C34" s="1" t="s">
        <v>25</v>
      </c>
      <c r="D34" s="1">
        <v>20000</v>
      </c>
      <c r="E34" s="1">
        <f t="shared" si="2"/>
        <v>21000</v>
      </c>
    </row>
    <row r="35" spans="2:5">
      <c r="B35" s="4" t="s">
        <v>10</v>
      </c>
      <c r="C35" s="1" t="s">
        <v>23</v>
      </c>
      <c r="D35" s="1">
        <v>18000</v>
      </c>
      <c r="E35" s="1">
        <f t="shared" si="2"/>
        <v>18000</v>
      </c>
    </row>
    <row r="36" spans="2:5">
      <c r="B36" s="4" t="s">
        <v>11</v>
      </c>
      <c r="C36" s="1" t="s">
        <v>25</v>
      </c>
      <c r="D36" s="1">
        <v>15000</v>
      </c>
      <c r="E36" s="1">
        <f t="shared" si="2"/>
        <v>15750</v>
      </c>
    </row>
  </sheetData>
  <mergeCells count="4">
    <mergeCell ref="F15:G15"/>
    <mergeCell ref="G31:L31"/>
    <mergeCell ref="G16:K18"/>
    <mergeCell ref="G19:K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CF64-E044-4776-8607-64E310DA1FC2}">
  <sheetPr>
    <tabColor theme="8" tint="0.39997558519241921"/>
  </sheetPr>
  <dimension ref="B1:G16"/>
  <sheetViews>
    <sheetView zoomScale="115" zoomScaleNormal="115" workbookViewId="0">
      <pane ySplit="1" topLeftCell="A11" activePane="bottomLeft" state="frozen"/>
      <selection pane="bottomLeft" activeCell="D13" sqref="D13:D16"/>
    </sheetView>
  </sheetViews>
  <sheetFormatPr defaultRowHeight="18"/>
  <cols>
    <col min="1" max="1" width="9" customWidth="1"/>
    <col min="2" max="2" width="9.9140625" style="5" customWidth="1"/>
    <col min="3" max="4" width="11.9140625" customWidth="1"/>
  </cols>
  <sheetData>
    <row r="1" spans="2:7" s="6" customFormat="1" ht="33" customHeight="1">
      <c r="B1" s="7" t="s">
        <v>94</v>
      </c>
    </row>
    <row r="3" spans="2:7">
      <c r="B3" s="3" t="s">
        <v>3</v>
      </c>
      <c r="C3" s="2" t="s">
        <v>4</v>
      </c>
      <c r="D3" s="2" t="s">
        <v>51</v>
      </c>
      <c r="G3" s="5" t="s">
        <v>52</v>
      </c>
    </row>
    <row r="4" spans="2:7">
      <c r="B4" s="4" t="s">
        <v>7</v>
      </c>
      <c r="C4" s="16">
        <v>0.45</v>
      </c>
      <c r="D4" s="1" t="str" cm="1">
        <f t="array" ref="D4">_xlfn.IFS(C4&gt;=80%,"A",C4&gt;=60%,"B",C4&gt;=50%,"C",C4&lt;50%,"D")</f>
        <v>D</v>
      </c>
      <c r="G4" s="5" t="s">
        <v>53</v>
      </c>
    </row>
    <row r="5" spans="2:7">
      <c r="B5" s="4" t="s">
        <v>8</v>
      </c>
      <c r="C5" s="16">
        <v>0.65</v>
      </c>
      <c r="D5" s="1" t="str" cm="1">
        <f t="array" ref="D5">_xlfn.IFS(C5&gt;=80%,"A",C5&gt;=60%,"B",C5&gt;=50%,"C",C5&lt;50%,"D")</f>
        <v>B</v>
      </c>
      <c r="G5" s="5" t="s">
        <v>54</v>
      </c>
    </row>
    <row r="6" spans="2:7">
      <c r="B6" s="4" t="s">
        <v>9</v>
      </c>
      <c r="C6" s="16">
        <v>0.11</v>
      </c>
      <c r="D6" s="1" t="str" cm="1">
        <f t="array" ref="D6">_xlfn.IFS(C6&gt;=80%,"A",C6&gt;=60%,"B",C6&gt;=50%,"C",C6&lt;50%,"D")</f>
        <v>D</v>
      </c>
      <c r="G6" s="5" t="s">
        <v>55</v>
      </c>
    </row>
    <row r="7" spans="2:7">
      <c r="B7" s="4" t="s">
        <v>10</v>
      </c>
      <c r="C7" s="16">
        <v>0.87</v>
      </c>
      <c r="D7" s="1" t="str" cm="1">
        <f t="array" ref="D7">_xlfn.IFS(C7&gt;=80%,"A",C7&gt;=60%,"B",C7&gt;=50%,"C",C7&lt;50%,"D")</f>
        <v>A</v>
      </c>
      <c r="G7" s="5" t="s">
        <v>56</v>
      </c>
    </row>
    <row r="8" spans="2:7">
      <c r="B8" s="4" t="s">
        <v>11</v>
      </c>
      <c r="C8" s="16">
        <v>0.33</v>
      </c>
      <c r="D8" s="1" t="str" cm="1">
        <f t="array" ref="D8">_xlfn.IFS(C8&gt;=80%,"A",C8&gt;=60%,"B",C8&gt;=50%,"C",C8&lt;50%,"D")</f>
        <v>D</v>
      </c>
    </row>
    <row r="12" spans="2:7">
      <c r="B12" s="3" t="s">
        <v>82</v>
      </c>
      <c r="C12" s="2" t="s">
        <v>90</v>
      </c>
      <c r="D12" s="2" t="s">
        <v>83</v>
      </c>
      <c r="G12" s="5" t="s">
        <v>88</v>
      </c>
    </row>
    <row r="13" spans="2:7">
      <c r="B13" s="4" t="s">
        <v>84</v>
      </c>
      <c r="C13" s="1">
        <v>12000</v>
      </c>
      <c r="D13" s="16" cm="1">
        <f t="array" ref="D13">_xlfn.IFS(C13&gt;=100000,10%,C13&gt;=50000,5%,C13&lt;50000,2%)</f>
        <v>0.02</v>
      </c>
      <c r="G13" s="5" t="s">
        <v>91</v>
      </c>
    </row>
    <row r="14" spans="2:7">
      <c r="B14" s="4" t="s">
        <v>85</v>
      </c>
      <c r="C14" s="1">
        <v>57000</v>
      </c>
      <c r="D14" s="16" cm="1">
        <f t="array" ref="D14">_xlfn.IFS(C14&gt;=100000,10%,C14&gt;=50000,5%,C14&lt;50000,2%)</f>
        <v>0.05</v>
      </c>
      <c r="G14" s="5" t="s">
        <v>89</v>
      </c>
    </row>
    <row r="15" spans="2:7">
      <c r="B15" s="4" t="s">
        <v>87</v>
      </c>
      <c r="C15" s="1">
        <v>120000</v>
      </c>
      <c r="D15" s="16" cm="1">
        <f t="array" ref="D15">_xlfn.IFS(C15&gt;=100000,10%,C15&gt;=50000,5%,C15&lt;50000,2%)</f>
        <v>0.1</v>
      </c>
      <c r="G15" s="5"/>
    </row>
    <row r="16" spans="2:7">
      <c r="B16" s="4" t="s">
        <v>86</v>
      </c>
      <c r="C16" s="1">
        <v>34000</v>
      </c>
      <c r="D16" s="16" cm="1">
        <f t="array" ref="D16">_xlfn.IFS(C16&gt;=100000,10%,C16&gt;=50000,5%,C16&lt;50000,2%)</f>
        <v>0.02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4C30-252D-431F-9548-35CBE2998391}">
  <sheetPr>
    <tabColor rgb="FF92D050"/>
  </sheetPr>
  <dimension ref="B1:L24"/>
  <sheetViews>
    <sheetView zoomScale="115" zoomScaleNormal="115" workbookViewId="0">
      <pane ySplit="1" topLeftCell="A36" activePane="bottomLeft" state="frozen"/>
      <selection pane="bottomLeft" activeCell="F14" sqref="F14"/>
    </sheetView>
  </sheetViews>
  <sheetFormatPr defaultRowHeight="18"/>
  <cols>
    <col min="1" max="1" width="9" customWidth="1"/>
    <col min="2" max="2" width="11.08203125" style="5" customWidth="1"/>
    <col min="3" max="5" width="11.9140625" customWidth="1"/>
    <col min="6" max="6" width="13.4140625" customWidth="1"/>
    <col min="7" max="7" width="7.5" customWidth="1"/>
    <col min="10" max="10" width="9.1640625" customWidth="1"/>
    <col min="12" max="12" width="0.1640625" customWidth="1"/>
  </cols>
  <sheetData>
    <row r="1" spans="2:12" s="6" customFormat="1" ht="33" customHeight="1">
      <c r="B1" s="7" t="s">
        <v>95</v>
      </c>
    </row>
    <row r="3" spans="2:12" ht="18" customHeight="1">
      <c r="B3" s="3" t="s">
        <v>3</v>
      </c>
      <c r="C3" s="2" t="s">
        <v>28</v>
      </c>
      <c r="D3" s="2" t="s">
        <v>29</v>
      </c>
      <c r="E3" s="2" t="s">
        <v>30</v>
      </c>
      <c r="F3" s="2" t="s">
        <v>5</v>
      </c>
      <c r="G3" s="9" t="s">
        <v>1</v>
      </c>
      <c r="H3" s="38" t="s">
        <v>31</v>
      </c>
      <c r="I3" s="38"/>
      <c r="J3" s="38"/>
      <c r="K3" s="38"/>
      <c r="L3" s="38"/>
    </row>
    <row r="4" spans="2:12" ht="18.45" customHeight="1">
      <c r="B4" s="4" t="s">
        <v>7</v>
      </c>
      <c r="C4" s="1">
        <v>45</v>
      </c>
      <c r="D4" s="1">
        <v>45</v>
      </c>
      <c r="E4" s="1">
        <v>88</v>
      </c>
      <c r="F4" s="1" t="str">
        <f>IF(AND(C4&gt;=40,D4&gt;=40,E4&gt;=40),"pass","false")</f>
        <v>pass</v>
      </c>
      <c r="H4" s="38"/>
      <c r="I4" s="38"/>
      <c r="J4" s="38"/>
      <c r="K4" s="38"/>
      <c r="L4" s="38"/>
    </row>
    <row r="5" spans="2:12">
      <c r="B5" s="4" t="s">
        <v>8</v>
      </c>
      <c r="C5" s="1">
        <v>65</v>
      </c>
      <c r="D5" s="1">
        <v>45</v>
      </c>
      <c r="E5" s="1">
        <v>77</v>
      </c>
      <c r="F5" s="1" t="str">
        <f t="shared" ref="F5:F8" si="0">IF(AND(C5&gt;=40,D5&gt;=40,E5&gt;=40),"pass","false")</f>
        <v>pass</v>
      </c>
      <c r="H5" s="38"/>
      <c r="I5" s="38"/>
      <c r="J5" s="38"/>
      <c r="K5" s="38"/>
      <c r="L5" s="38"/>
    </row>
    <row r="6" spans="2:12">
      <c r="B6" s="4" t="s">
        <v>9</v>
      </c>
      <c r="C6" s="1">
        <v>11</v>
      </c>
      <c r="D6" s="1">
        <v>55</v>
      </c>
      <c r="E6" s="1">
        <v>23</v>
      </c>
      <c r="F6" s="1" t="str">
        <f t="shared" si="0"/>
        <v>false</v>
      </c>
    </row>
    <row r="7" spans="2:12" ht="18.45" customHeight="1">
      <c r="B7" s="4" t="s">
        <v>10</v>
      </c>
      <c r="C7" s="1">
        <v>87</v>
      </c>
      <c r="D7" s="1">
        <v>66</v>
      </c>
      <c r="E7" s="1">
        <v>33</v>
      </c>
      <c r="F7" s="1" t="str">
        <f t="shared" si="0"/>
        <v>false</v>
      </c>
    </row>
    <row r="8" spans="2:12">
      <c r="B8" s="4" t="s">
        <v>11</v>
      </c>
      <c r="C8" s="1">
        <v>33</v>
      </c>
      <c r="D8" s="1">
        <v>34</v>
      </c>
      <c r="E8" s="1">
        <v>75</v>
      </c>
      <c r="F8" s="1" t="str">
        <f t="shared" si="0"/>
        <v>false</v>
      </c>
    </row>
    <row r="10" spans="2:12">
      <c r="B10" s="3" t="s">
        <v>32</v>
      </c>
      <c r="C10" s="2" t="s">
        <v>33</v>
      </c>
      <c r="D10" s="2" t="s">
        <v>34</v>
      </c>
      <c r="E10" s="2" t="s">
        <v>35</v>
      </c>
      <c r="G10" s="9" t="s">
        <v>38</v>
      </c>
      <c r="H10" s="37" t="s">
        <v>41</v>
      </c>
      <c r="I10" s="37"/>
      <c r="J10" s="37"/>
      <c r="K10" s="37"/>
      <c r="L10" s="37"/>
    </row>
    <row r="11" spans="2:12">
      <c r="B11" s="4">
        <v>10</v>
      </c>
      <c r="C11" s="1" t="s">
        <v>36</v>
      </c>
      <c r="D11" s="8">
        <v>45493</v>
      </c>
      <c r="E11" s="1" t="str">
        <f>IF(AND(C11="Delivered",D11&lt;&gt;""),"closed","")</f>
        <v>closed</v>
      </c>
      <c r="H11" s="37"/>
      <c r="I11" s="37"/>
      <c r="J11" s="37"/>
      <c r="K11" s="37"/>
      <c r="L11" s="37"/>
    </row>
    <row r="12" spans="2:12">
      <c r="B12" s="4">
        <v>11</v>
      </c>
      <c r="C12" s="1" t="s">
        <v>37</v>
      </c>
      <c r="D12" s="1"/>
      <c r="E12" s="1" t="str">
        <f t="shared" ref="E12:E15" si="1">IF(AND(C12="Delivered",D12&lt;&gt;""),"closed","")</f>
        <v/>
      </c>
      <c r="H12" s="37"/>
      <c r="I12" s="37"/>
      <c r="J12" s="37"/>
      <c r="K12" s="37"/>
      <c r="L12" s="37"/>
    </row>
    <row r="13" spans="2:12">
      <c r="B13" s="4">
        <v>12</v>
      </c>
      <c r="C13" s="1" t="s">
        <v>36</v>
      </c>
      <c r="D13" s="8">
        <v>45492</v>
      </c>
      <c r="E13" s="1" t="str">
        <f t="shared" si="1"/>
        <v>closed</v>
      </c>
    </row>
    <row r="14" spans="2:12">
      <c r="B14" s="4">
        <v>13</v>
      </c>
      <c r="C14" s="1" t="s">
        <v>36</v>
      </c>
      <c r="D14" s="1"/>
      <c r="E14" s="1" t="str">
        <f t="shared" si="1"/>
        <v/>
      </c>
    </row>
    <row r="15" spans="2:12">
      <c r="B15" s="4">
        <v>14</v>
      </c>
      <c r="C15" s="1" t="s">
        <v>37</v>
      </c>
      <c r="D15" s="8">
        <v>45492</v>
      </c>
      <c r="E15" s="1" t="str">
        <f t="shared" si="1"/>
        <v/>
      </c>
    </row>
    <row r="19" spans="2:11">
      <c r="B19" s="3" t="s">
        <v>32</v>
      </c>
      <c r="C19" s="2" t="s">
        <v>0</v>
      </c>
      <c r="D19" s="2" t="s">
        <v>35</v>
      </c>
      <c r="E19" s="2" t="s">
        <v>78</v>
      </c>
      <c r="F19" s="9" t="s">
        <v>49</v>
      </c>
      <c r="G19" s="37" t="s">
        <v>79</v>
      </c>
      <c r="H19" s="37"/>
      <c r="I19" s="37"/>
      <c r="J19" s="37"/>
      <c r="K19" s="37"/>
    </row>
    <row r="20" spans="2:11">
      <c r="B20" s="10">
        <v>10</v>
      </c>
      <c r="C20" s="11">
        <v>4000</v>
      </c>
      <c r="D20" s="12" t="s">
        <v>39</v>
      </c>
      <c r="E20" s="17" t="str">
        <f>IF(AND(C20&gt;=10000,D20="closed"),C20*5%,"")</f>
        <v/>
      </c>
      <c r="G20" s="37"/>
      <c r="H20" s="37"/>
      <c r="I20" s="37"/>
      <c r="J20" s="37"/>
      <c r="K20" s="37"/>
    </row>
    <row r="21" spans="2:11">
      <c r="B21" s="10">
        <v>11</v>
      </c>
      <c r="C21" s="11">
        <v>12000</v>
      </c>
      <c r="D21" s="10" t="s">
        <v>39</v>
      </c>
      <c r="E21" s="17">
        <f t="shared" ref="E21:E24" si="2">IF(AND(C21&gt;=10000,D21="closed"),C21*5%,"")</f>
        <v>600</v>
      </c>
      <c r="G21" s="37"/>
      <c r="H21" s="37"/>
      <c r="I21" s="37"/>
      <c r="J21" s="37"/>
      <c r="K21" s="37"/>
    </row>
    <row r="22" spans="2:11">
      <c r="B22" s="10">
        <v>12</v>
      </c>
      <c r="C22" s="11">
        <v>33000</v>
      </c>
      <c r="D22" s="12" t="s">
        <v>40</v>
      </c>
      <c r="E22" s="17" t="str">
        <f t="shared" si="2"/>
        <v/>
      </c>
    </row>
    <row r="23" spans="2:11">
      <c r="B23" s="10">
        <v>13</v>
      </c>
      <c r="C23" s="11">
        <v>3400</v>
      </c>
      <c r="D23" s="10" t="s">
        <v>39</v>
      </c>
      <c r="E23" s="17" t="str">
        <f t="shared" si="2"/>
        <v/>
      </c>
    </row>
    <row r="24" spans="2:11">
      <c r="B24" s="10">
        <v>14</v>
      </c>
      <c r="C24" s="11">
        <v>17000</v>
      </c>
      <c r="D24" s="12" t="s">
        <v>40</v>
      </c>
      <c r="E24" s="17" t="str">
        <f t="shared" si="2"/>
        <v/>
      </c>
    </row>
  </sheetData>
  <mergeCells count="3">
    <mergeCell ref="H10:L12"/>
    <mergeCell ref="G19:K21"/>
    <mergeCell ref="H3:L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91B8-27A3-4578-85C6-191FBFA7E4BC}">
  <sheetPr>
    <tabColor theme="5" tint="-0.249977111117893"/>
  </sheetPr>
  <dimension ref="B1:M16"/>
  <sheetViews>
    <sheetView zoomScale="115" zoomScaleNormal="115" workbookViewId="0">
      <pane ySplit="1" topLeftCell="A16" activePane="bottomLeft" state="frozen"/>
      <selection pane="bottomLeft" activeCell="E14" sqref="E14"/>
    </sheetView>
  </sheetViews>
  <sheetFormatPr defaultRowHeight="18"/>
  <cols>
    <col min="1" max="1" width="9" customWidth="1"/>
    <col min="2" max="2" width="8.9140625" style="5" customWidth="1"/>
    <col min="3" max="4" width="11.9140625" customWidth="1"/>
    <col min="5" max="6" width="13.6640625" customWidth="1"/>
  </cols>
  <sheetData>
    <row r="1" spans="2:13" s="6" customFormat="1" ht="33" customHeight="1">
      <c r="B1" s="7" t="s">
        <v>96</v>
      </c>
    </row>
    <row r="3" spans="2:13">
      <c r="B3" s="3" t="s">
        <v>32</v>
      </c>
      <c r="C3" s="2" t="s">
        <v>43</v>
      </c>
      <c r="D3" s="2" t="s">
        <v>44</v>
      </c>
      <c r="E3" s="13" t="s">
        <v>45</v>
      </c>
      <c r="F3" s="2" t="s">
        <v>2</v>
      </c>
    </row>
    <row r="4" spans="2:13">
      <c r="B4" s="4">
        <v>10</v>
      </c>
      <c r="C4" s="1">
        <v>23</v>
      </c>
      <c r="D4" s="1">
        <v>200</v>
      </c>
      <c r="E4" s="1" t="str">
        <f>IF(OR(C4&gt;=15,D4&gt;=1200),"Yes","No")</f>
        <v>Yes</v>
      </c>
      <c r="F4" s="1">
        <f>IF(E4="Yes",C4*D4-(C4*D4*5%),C4*D4)</f>
        <v>4370</v>
      </c>
      <c r="G4">
        <f>C4*D4</f>
        <v>4600</v>
      </c>
      <c r="I4" s="39" t="s">
        <v>81</v>
      </c>
      <c r="J4" s="39"/>
      <c r="K4" s="39"/>
      <c r="L4" s="39"/>
      <c r="M4" s="39"/>
    </row>
    <row r="5" spans="2:13">
      <c r="B5" s="4">
        <v>11</v>
      </c>
      <c r="C5" s="1">
        <v>9</v>
      </c>
      <c r="D5" s="1">
        <v>1500</v>
      </c>
      <c r="E5" s="1" t="str">
        <f t="shared" ref="E5:E8" si="0">IF(OR(C5&gt;=15,D5&gt;=1200),"Yes","No")</f>
        <v>Yes</v>
      </c>
      <c r="F5" s="1">
        <f t="shared" ref="F5:F8" si="1">IF(E5="Yes",C5*D5-(C5*D5*5%),C5*D5)</f>
        <v>12825</v>
      </c>
      <c r="G5">
        <f t="shared" ref="G5:G8" si="2">C5*D5</f>
        <v>13500</v>
      </c>
      <c r="I5" s="39"/>
      <c r="J5" s="39"/>
      <c r="K5" s="39"/>
      <c r="L5" s="39"/>
      <c r="M5" s="39"/>
    </row>
    <row r="6" spans="2:13">
      <c r="B6" s="4">
        <v>12</v>
      </c>
      <c r="C6" s="1">
        <v>8</v>
      </c>
      <c r="D6" s="1">
        <v>200</v>
      </c>
      <c r="E6" s="1" t="str">
        <f t="shared" si="0"/>
        <v>No</v>
      </c>
      <c r="F6" s="1">
        <f t="shared" si="1"/>
        <v>1600</v>
      </c>
      <c r="G6">
        <f t="shared" si="2"/>
        <v>1600</v>
      </c>
      <c r="I6" s="14" t="s">
        <v>46</v>
      </c>
    </row>
    <row r="7" spans="2:13">
      <c r="B7" s="4">
        <v>13</v>
      </c>
      <c r="C7" s="1">
        <v>5</v>
      </c>
      <c r="D7" s="1">
        <v>1299</v>
      </c>
      <c r="E7" s="1" t="str">
        <f t="shared" si="0"/>
        <v>Yes</v>
      </c>
      <c r="F7" s="1">
        <f t="shared" si="1"/>
        <v>6170.25</v>
      </c>
      <c r="G7">
        <f t="shared" si="2"/>
        <v>6495</v>
      </c>
      <c r="I7" s="15" t="s">
        <v>47</v>
      </c>
    </row>
    <row r="8" spans="2:13">
      <c r="B8" s="4">
        <v>14</v>
      </c>
      <c r="C8" s="1">
        <v>17</v>
      </c>
      <c r="D8" s="1">
        <v>150</v>
      </c>
      <c r="E8" s="1" t="str">
        <f t="shared" si="0"/>
        <v>Yes</v>
      </c>
      <c r="F8" s="1">
        <f t="shared" si="1"/>
        <v>2422.5</v>
      </c>
      <c r="G8">
        <f t="shared" si="2"/>
        <v>2550</v>
      </c>
    </row>
    <row r="11" spans="2:13">
      <c r="B11" s="3" t="s">
        <v>32</v>
      </c>
      <c r="C11" s="2" t="s">
        <v>33</v>
      </c>
      <c r="D11" s="2" t="s">
        <v>35</v>
      </c>
      <c r="I11" s="5" t="s">
        <v>48</v>
      </c>
    </row>
    <row r="12" spans="2:13">
      <c r="B12" s="4">
        <v>10</v>
      </c>
      <c r="C12" s="1" t="s">
        <v>36</v>
      </c>
      <c r="D12" s="1" t="str">
        <f>IF(OR(C12="delivered",C12="cancelled"),"closed","")</f>
        <v>closed</v>
      </c>
    </row>
    <row r="13" spans="2:13">
      <c r="B13" s="4">
        <v>11</v>
      </c>
      <c r="C13" s="1" t="s">
        <v>37</v>
      </c>
      <c r="D13" s="1" t="str">
        <f t="shared" ref="D13:D16" si="3">IF(OR(C13="delivered",C13="cancelled"),"closed","")</f>
        <v/>
      </c>
    </row>
    <row r="14" spans="2:13">
      <c r="B14" s="4">
        <v>12</v>
      </c>
      <c r="C14" s="1" t="s">
        <v>36</v>
      </c>
      <c r="D14" s="1" t="str">
        <f t="shared" si="3"/>
        <v>closed</v>
      </c>
    </row>
    <row r="15" spans="2:13">
      <c r="B15" s="4">
        <v>13</v>
      </c>
      <c r="C15" s="1" t="s">
        <v>42</v>
      </c>
      <c r="D15" s="1" t="str">
        <f t="shared" si="3"/>
        <v>closed</v>
      </c>
    </row>
    <row r="16" spans="2:13">
      <c r="B16" s="4">
        <v>14</v>
      </c>
      <c r="C16" s="1" t="s">
        <v>42</v>
      </c>
      <c r="D16" s="1" t="str">
        <f t="shared" si="3"/>
        <v>closed</v>
      </c>
    </row>
  </sheetData>
  <mergeCells count="1">
    <mergeCell ref="I4:M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02FF-0E1F-4CF4-990A-CC417DDE59B0}">
  <sheetPr>
    <tabColor theme="9" tint="0.39997558519241921"/>
  </sheetPr>
  <dimension ref="B1:L28"/>
  <sheetViews>
    <sheetView tabSelected="1" zoomScale="115" zoomScaleNormal="115" workbookViewId="0">
      <pane ySplit="1" topLeftCell="A15" activePane="bottomLeft" state="frozen"/>
      <selection pane="bottomLeft" activeCell="G24" sqref="G24:G28"/>
    </sheetView>
  </sheetViews>
  <sheetFormatPr defaultRowHeight="18"/>
  <cols>
    <col min="1" max="1" width="9" customWidth="1"/>
    <col min="2" max="2" width="14.4140625" style="5" customWidth="1"/>
    <col min="3" max="3" width="14" customWidth="1"/>
    <col min="4" max="4" width="11.9140625" customWidth="1"/>
    <col min="5" max="5" width="13" customWidth="1"/>
    <col min="6" max="6" width="11" bestFit="1" customWidth="1"/>
    <col min="7" max="7" width="18.1640625" bestFit="1" customWidth="1"/>
    <col min="9" max="9" width="10.25" customWidth="1"/>
    <col min="11" max="11" width="11" bestFit="1" customWidth="1"/>
    <col min="12" max="12" width="16.5" bestFit="1" customWidth="1"/>
  </cols>
  <sheetData>
    <row r="1" spans="2:10" s="6" customFormat="1" ht="33" customHeight="1">
      <c r="B1" s="7" t="s">
        <v>97</v>
      </c>
    </row>
    <row r="3" spans="2:10">
      <c r="B3" s="3" t="s">
        <v>57</v>
      </c>
      <c r="C3" s="2" t="s">
        <v>58</v>
      </c>
      <c r="D3" s="2" t="s">
        <v>35</v>
      </c>
      <c r="G3" s="5" t="s">
        <v>59</v>
      </c>
      <c r="H3" s="31" t="s">
        <v>125</v>
      </c>
      <c r="I3" s="31"/>
      <c r="J3" s="31"/>
    </row>
    <row r="4" spans="2:10">
      <c r="B4" s="4" t="s">
        <v>7</v>
      </c>
      <c r="C4" s="1">
        <v>5</v>
      </c>
      <c r="D4" s="1" t="str" cm="1">
        <f t="array" ref="D4">_xlfn.SWITCH(C4,5,"EXCELLENT",4,"VERY GOOD",3,"GOOD",2,"POOR",1,"VERY POOR","UNKNOWN")</f>
        <v>EXCELLENT</v>
      </c>
      <c r="G4" s="5" t="s">
        <v>60</v>
      </c>
      <c r="H4" t="s">
        <v>115</v>
      </c>
    </row>
    <row r="5" spans="2:10">
      <c r="B5" s="4" t="s">
        <v>8</v>
      </c>
      <c r="C5" s="1">
        <v>2</v>
      </c>
      <c r="D5" s="1" t="str" cm="1">
        <f t="array" ref="D5">_xlfn.SWITCH(C5,5,"EXCELLENT",4,"VERY GOOD",3,"GOOD",2,"POOR",1,"VERY POOR","UNKNOWN")</f>
        <v>POOR</v>
      </c>
      <c r="G5" s="5" t="s">
        <v>61</v>
      </c>
      <c r="H5" s="29" t="s">
        <v>116</v>
      </c>
    </row>
    <row r="6" spans="2:10">
      <c r="B6" s="4" t="s">
        <v>9</v>
      </c>
      <c r="C6" s="1">
        <v>7</v>
      </c>
      <c r="D6" s="1" t="str" cm="1">
        <f t="array" ref="D6">_xlfn.SWITCH(C6,5,"EXCELLENT",4,"VERY GOOD",3,"GOOD",2,"POOR",1,"VERY POOR","UNKNOWN")</f>
        <v>UNKNOWN</v>
      </c>
      <c r="G6" s="5" t="s">
        <v>62</v>
      </c>
      <c r="H6" s="29" t="s">
        <v>117</v>
      </c>
    </row>
    <row r="7" spans="2:10">
      <c r="B7" s="4" t="s">
        <v>10</v>
      </c>
      <c r="C7" s="1">
        <v>7</v>
      </c>
      <c r="D7" s="1" t="str" cm="1">
        <f t="array" ref="D7">_xlfn.SWITCH(C7,5,"EXCELLENT",4,"VERY GOOD",3,"GOOD",2,"POOR",1,"VERY POOR","UNKNOWN")</f>
        <v>UNKNOWN</v>
      </c>
      <c r="G7" s="5" t="s">
        <v>63</v>
      </c>
      <c r="H7" s="29" t="s">
        <v>118</v>
      </c>
    </row>
    <row r="8" spans="2:10">
      <c r="B8" s="4" t="s">
        <v>11</v>
      </c>
      <c r="C8" s="1">
        <v>4</v>
      </c>
      <c r="D8" s="1" t="str" cm="1">
        <f t="array" ref="D8">_xlfn.SWITCH(C8,5,"EXCELLENT",4,"VERY GOOD",3,"GOOD",2,"POOR",1,"VERY POOR","UNKNOWN")</f>
        <v>VERY GOOD</v>
      </c>
      <c r="G8" s="5" t="s">
        <v>64</v>
      </c>
      <c r="H8" s="29" t="s">
        <v>119</v>
      </c>
    </row>
    <row r="11" spans="2:10">
      <c r="B11" s="3" t="s">
        <v>65</v>
      </c>
      <c r="C11" s="2" t="s">
        <v>50</v>
      </c>
      <c r="D11" s="2" t="s">
        <v>66</v>
      </c>
      <c r="E11" s="2" t="s">
        <v>67</v>
      </c>
      <c r="G11" s="33" t="s">
        <v>66</v>
      </c>
      <c r="H11" s="33" t="s">
        <v>67</v>
      </c>
    </row>
    <row r="12" spans="2:10">
      <c r="B12" s="4">
        <v>10</v>
      </c>
      <c r="C12" s="1" t="s">
        <v>72</v>
      </c>
      <c r="D12" s="1" t="s">
        <v>71</v>
      </c>
      <c r="E12" s="18" cm="1">
        <f t="array" ref="E12">_xlfn.SWITCH(D12,"fitness",15%,"office",5%,"kitchen",12%,"décor",17%,"")</f>
        <v>0.17</v>
      </c>
      <c r="G12" s="1" t="s">
        <v>68</v>
      </c>
      <c r="H12" s="16">
        <v>0.15</v>
      </c>
    </row>
    <row r="13" spans="2:10">
      <c r="B13" s="4">
        <v>11</v>
      </c>
      <c r="C13" s="1" t="s">
        <v>73</v>
      </c>
      <c r="D13" s="1" t="s">
        <v>70</v>
      </c>
      <c r="E13" s="18" cm="1">
        <f t="array" ref="E13">_xlfn.SWITCH(D13,"fitness",15%,"office",5%,"kitchen",12%,"décor",17%,"")</f>
        <v>0.12</v>
      </c>
      <c r="G13" s="1" t="s">
        <v>69</v>
      </c>
      <c r="H13" s="16">
        <v>0.05</v>
      </c>
    </row>
    <row r="14" spans="2:10">
      <c r="B14" s="4">
        <v>12</v>
      </c>
      <c r="C14" s="1" t="s">
        <v>74</v>
      </c>
      <c r="D14" s="1" t="s">
        <v>69</v>
      </c>
      <c r="E14" s="18" cm="1">
        <f t="array" ref="E14">_xlfn.SWITCH(D14,"fitness",15%,"office",5%,"kitchen",12%,"décor",17%,"")</f>
        <v>0.05</v>
      </c>
      <c r="G14" s="1" t="s">
        <v>70</v>
      </c>
      <c r="H14" s="16">
        <v>0.12</v>
      </c>
    </row>
    <row r="15" spans="2:10">
      <c r="B15" s="4">
        <v>13</v>
      </c>
      <c r="C15" s="1" t="s">
        <v>75</v>
      </c>
      <c r="D15" s="1" t="s">
        <v>70</v>
      </c>
      <c r="E15" s="18" cm="1">
        <f t="array" ref="E15">_xlfn.SWITCH(D15,"fitness",15%,"office",5%,"kitchen",12%,"décor",17%,"")</f>
        <v>0.12</v>
      </c>
      <c r="G15" s="1" t="s">
        <v>71</v>
      </c>
      <c r="H15" s="16">
        <v>0.17</v>
      </c>
    </row>
    <row r="16" spans="2:10">
      <c r="B16" s="4">
        <v>14</v>
      </c>
      <c r="C16" s="1" t="s">
        <v>76</v>
      </c>
      <c r="D16" s="1" t="s">
        <v>68</v>
      </c>
      <c r="E16" s="18" cm="1">
        <f t="array" ref="E16">_xlfn.SWITCH(D16,"fitness",15%,"office",5%,"kitchen",12%,"décor",17%,"")</f>
        <v>0.15</v>
      </c>
    </row>
    <row r="17" spans="2:12">
      <c r="B17" s="4">
        <v>15</v>
      </c>
      <c r="C17" s="1" t="s">
        <v>77</v>
      </c>
      <c r="D17" s="1" t="s">
        <v>70</v>
      </c>
      <c r="E17" s="18" cm="1">
        <f t="array" ref="E17">_xlfn.SWITCH(D17,"fitness",15%,"office",5%,"kitchen",12%,"décor",17%,"")</f>
        <v>0.12</v>
      </c>
    </row>
    <row r="18" spans="2:12">
      <c r="E18" s="25"/>
    </row>
    <row r="19" spans="2:12">
      <c r="E19" s="25"/>
    </row>
    <row r="20" spans="2:12">
      <c r="E20" s="25"/>
    </row>
    <row r="21" spans="2:12">
      <c r="B21" s="26" t="s">
        <v>110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2:12">
      <c r="E22" s="40" t="s">
        <v>93</v>
      </c>
      <c r="F22" s="40"/>
      <c r="G22" s="40"/>
      <c r="J22" s="41" t="s">
        <v>109</v>
      </c>
      <c r="K22" s="41"/>
      <c r="L22" s="41"/>
    </row>
    <row r="23" spans="2:12">
      <c r="B23" s="23" t="s">
        <v>98</v>
      </c>
      <c r="C23" s="23" t="s">
        <v>51</v>
      </c>
      <c r="E23" s="21" t="s">
        <v>106</v>
      </c>
      <c r="F23" s="21" t="s">
        <v>107</v>
      </c>
      <c r="G23" s="21" t="s">
        <v>108</v>
      </c>
      <c r="J23" s="21" t="s">
        <v>106</v>
      </c>
      <c r="K23" s="21" t="s">
        <v>107</v>
      </c>
      <c r="L23" s="21" t="s">
        <v>108</v>
      </c>
    </row>
    <row r="24" spans="2:12">
      <c r="B24" s="24" t="s">
        <v>99</v>
      </c>
      <c r="C24" s="24" t="s">
        <v>84</v>
      </c>
      <c r="E24" s="22">
        <v>95</v>
      </c>
      <c r="F24" s="22" t="str">
        <f>IF(E24&gt;=90,"A",IF(E24&gt;=80,"B",IF(E24&gt;=70,"C",IF(E24&gt;=60,"D",IF(E24&lt;60,"F")))))</f>
        <v>A</v>
      </c>
      <c r="G24" s="22" t="str" cm="1">
        <f t="array" ref="G24">_xlfn.SWITCH(TRUE,E24&gt;=90,"A",E24&gt;=80,"B",E24&gt;=70,"C",E24&gt;=60,"D",E24&lt;60,"F","")</f>
        <v>A</v>
      </c>
      <c r="J24" s="22">
        <v>95</v>
      </c>
      <c r="K24" s="22"/>
      <c r="L24" s="22"/>
    </row>
    <row r="25" spans="2:12">
      <c r="B25" s="24" t="s">
        <v>100</v>
      </c>
      <c r="C25" s="24" t="s">
        <v>85</v>
      </c>
      <c r="E25" s="22">
        <v>82</v>
      </c>
      <c r="F25" s="22" t="str">
        <f t="shared" ref="F25:F28" si="0">IF(E25&gt;=90,"A",IF(E25&gt;=80,"B",IF(E25&gt;=70,"C",IF(E25&gt;=60,"D",IF(E25&lt;60,"F")))))</f>
        <v>B</v>
      </c>
      <c r="G25" s="22" t="str" cm="1">
        <f t="array" ref="G25">_xlfn.SWITCH(TRUE,E25&gt;=90,"A",E25&gt;=80,"B",E25&gt;=70,"C",E25&gt;=60,"D",E25&lt;60,"F","")</f>
        <v>B</v>
      </c>
      <c r="J25" s="22">
        <v>82</v>
      </c>
      <c r="K25" s="22"/>
      <c r="L25" s="22"/>
    </row>
    <row r="26" spans="2:12">
      <c r="B26" s="24" t="s">
        <v>101</v>
      </c>
      <c r="C26" s="24" t="s">
        <v>102</v>
      </c>
      <c r="E26" s="22">
        <v>76</v>
      </c>
      <c r="F26" s="22" t="str">
        <f t="shared" si="0"/>
        <v>C</v>
      </c>
      <c r="G26" s="22" t="str" cm="1">
        <f t="array" ref="G26">_xlfn.SWITCH(TRUE,E26&gt;=90,"A",E26&gt;=80,"B",E26&gt;=70,"C",E26&gt;=60,"D",E26&lt;60,"F","")</f>
        <v>C</v>
      </c>
      <c r="J26" s="22">
        <v>76</v>
      </c>
      <c r="K26" s="22"/>
      <c r="L26" s="22"/>
    </row>
    <row r="27" spans="2:12">
      <c r="B27" s="24" t="s">
        <v>103</v>
      </c>
      <c r="C27" s="24" t="s">
        <v>86</v>
      </c>
      <c r="E27" s="22">
        <v>63</v>
      </c>
      <c r="F27" s="22" t="str">
        <f t="shared" si="0"/>
        <v>D</v>
      </c>
      <c r="G27" s="22" t="str" cm="1">
        <f t="array" ref="G27">_xlfn.SWITCH(TRUE,E27&gt;=90,"A",E27&gt;=80,"B",E27&gt;=70,"C",E27&gt;=60,"D",E27&lt;60,"F","")</f>
        <v>D</v>
      </c>
      <c r="J27" s="22">
        <v>63</v>
      </c>
      <c r="K27" s="22"/>
      <c r="L27" s="22"/>
    </row>
    <row r="28" spans="2:12">
      <c r="B28" s="24" t="s">
        <v>104</v>
      </c>
      <c r="C28" s="24" t="s">
        <v>105</v>
      </c>
      <c r="E28" s="22">
        <v>45</v>
      </c>
      <c r="F28" s="22" t="str">
        <f t="shared" si="0"/>
        <v>F</v>
      </c>
      <c r="G28" s="22" t="str" cm="1">
        <f t="array" ref="G28">_xlfn.SWITCH(TRUE,E28&gt;=90,"A",E28&gt;=80,"B",E28&gt;=70,"C",E28&gt;=60,"D",E28&lt;60,"F","")</f>
        <v>F</v>
      </c>
      <c r="J28" s="22">
        <v>45</v>
      </c>
      <c r="K28" s="22"/>
      <c r="L28" s="22"/>
    </row>
  </sheetData>
  <mergeCells count="2">
    <mergeCell ref="E22:G22"/>
    <mergeCell ref="J22:L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</vt:lpstr>
      <vt:lpstr>IFs</vt:lpstr>
      <vt:lpstr>IF And</vt:lpstr>
      <vt:lpstr>IF Or</vt:lpstr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Siddhesh Mestry</cp:lastModifiedBy>
  <dcterms:created xsi:type="dcterms:W3CDTF">2024-07-20T14:22:35Z</dcterms:created>
  <dcterms:modified xsi:type="dcterms:W3CDTF">2025-08-19T14:30:12Z</dcterms:modified>
</cp:coreProperties>
</file>