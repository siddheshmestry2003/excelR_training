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ing\Excelr\Excel\"/>
    </mc:Choice>
  </mc:AlternateContent>
  <xr:revisionPtr revIDLastSave="0" documentId="13_ncr:1_{250E773B-8882-4301-A317-D6371AD2B3DE}" xr6:coauthVersionLast="47" xr6:coauthVersionMax="47" xr10:uidLastSave="{00000000-0000-0000-0000-000000000000}"/>
  <bookViews>
    <workbookView xWindow="-108" yWindow="-108" windowWidth="23256" windowHeight="12456" xr2:uid="{8D42876B-587E-4FFF-A673-1D7FE1236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I33" i="1" a="1"/>
  <c r="I33" i="1" s="1"/>
  <c r="I32" i="1" a="1"/>
  <c r="I32" i="1" s="1"/>
  <c r="M29" i="1"/>
  <c r="M25" i="1"/>
  <c r="M27" i="1"/>
  <c r="M28" i="1"/>
  <c r="M24" i="1"/>
  <c r="I18" i="1"/>
  <c r="I10" i="1"/>
  <c r="G4" i="1"/>
  <c r="G3" i="1"/>
  <c r="I5" i="1"/>
  <c r="G7" i="1"/>
  <c r="G10" i="1"/>
  <c r="G6" i="1"/>
  <c r="F10" i="1"/>
  <c r="I31" i="1" a="1"/>
  <c r="I31" i="1" s="1"/>
  <c r="G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<sst xmlns="http://schemas.openxmlformats.org/spreadsheetml/2006/main" count="133" uniqueCount="84">
  <si>
    <t>Function</t>
  </si>
  <si>
    <t>Stands for</t>
  </si>
  <si>
    <t>Search Direction</t>
  </si>
  <si>
    <t>Available Since</t>
  </si>
  <si>
    <t>LOOKUP</t>
  </si>
  <si>
    <t>General lookup</t>
  </si>
  <si>
    <t>Horizontal or vertical (older)</t>
  </si>
  <si>
    <t>Early Excel versions</t>
  </si>
  <si>
    <t>VLOOKUP</t>
  </si>
  <si>
    <t>Vertical Lookup</t>
  </si>
  <si>
    <t>Top to bottom (columns)</t>
  </si>
  <si>
    <t>All versions</t>
  </si>
  <si>
    <t>HLOOKUP</t>
  </si>
  <si>
    <t>Horizontal Lookup</t>
  </si>
  <si>
    <t>Left to right (rows)</t>
  </si>
  <si>
    <t>XLOOKUP</t>
  </si>
  <si>
    <t>Flexible Lookup</t>
  </si>
  <si>
    <t>Any direction</t>
  </si>
  <si>
    <t>Excel 365 / Excel 2019+</t>
  </si>
  <si>
    <t>Sr No</t>
  </si>
  <si>
    <t>Emp ID</t>
  </si>
  <si>
    <t>Name</t>
  </si>
  <si>
    <t>Department</t>
  </si>
  <si>
    <t>Salary</t>
  </si>
  <si>
    <t>Alice</t>
  </si>
  <si>
    <t>HR</t>
  </si>
  <si>
    <t>Bob</t>
  </si>
  <si>
    <t>IT</t>
  </si>
  <si>
    <t>Carol</t>
  </si>
  <si>
    <t>Finance</t>
  </si>
  <si>
    <t>David</t>
  </si>
  <si>
    <t>Emma</t>
  </si>
  <si>
    <t>Marketing</t>
  </si>
  <si>
    <t>Lookup</t>
  </si>
  <si>
    <t xml:space="preserve"> Works only if Emp IDs are sorted in ascending order!</t>
  </si>
  <si>
    <t>Vookup</t>
  </si>
  <si>
    <r>
      <t xml:space="preserve">Find </t>
    </r>
    <r>
      <rPr>
        <b/>
        <sz val="11"/>
        <color theme="1"/>
        <rFont val="Aptos Narrow"/>
        <family val="2"/>
        <scheme val="minor"/>
      </rPr>
      <t>103</t>
    </r>
    <r>
      <rPr>
        <sz val="11"/>
        <color theme="1"/>
        <rFont val="Aptos Narrow"/>
        <family val="2"/>
        <scheme val="minor"/>
      </rPr>
      <t xml:space="preserve"> in column A</t>
    </r>
  </si>
  <si>
    <r>
      <t xml:space="preserve">Return value from </t>
    </r>
    <r>
      <rPr>
        <b/>
        <sz val="11"/>
        <color theme="1"/>
        <rFont val="Aptos Narrow"/>
        <family val="2"/>
        <scheme val="minor"/>
      </rPr>
      <t>4th column (Salary)</t>
    </r>
  </si>
  <si>
    <t>Exact match</t>
  </si>
  <si>
    <r>
      <t xml:space="preserve">Find </t>
    </r>
    <r>
      <rPr>
        <b/>
        <sz val="11"/>
        <color theme="1"/>
        <rFont val="Aptos Narrow"/>
        <family val="2"/>
        <scheme val="minor"/>
      </rPr>
      <t>103</t>
    </r>
    <r>
      <rPr>
        <sz val="11"/>
        <color theme="1"/>
        <rFont val="Aptos Narrow"/>
        <family val="2"/>
        <scheme val="minor"/>
      </rPr>
      <t xml:space="preserve"> in the first row</t>
    </r>
  </si>
  <si>
    <r>
      <t xml:space="preserve">Return value from </t>
    </r>
    <r>
      <rPr>
        <b/>
        <sz val="11"/>
        <color theme="1"/>
        <rFont val="Aptos Narrow"/>
        <family val="2"/>
        <scheme val="minor"/>
      </rPr>
      <t>4th row (Salary)</t>
    </r>
  </si>
  <si>
    <r>
      <t xml:space="preserve">Result: </t>
    </r>
    <r>
      <rPr>
        <b/>
        <sz val="10"/>
        <color theme="1"/>
        <rFont val="Arial Unicode MS"/>
      </rPr>
      <t>55000</t>
    </r>
  </si>
  <si>
    <t>Now suppose  our is transposed:</t>
  </si>
  <si>
    <r>
      <t xml:space="preserve">If not found, show </t>
    </r>
    <r>
      <rPr>
        <sz val="10"/>
        <color theme="1"/>
        <rFont val="Arial Unicode MS"/>
      </rPr>
      <t>"Value Not Found"</t>
    </r>
  </si>
  <si>
    <r>
      <t xml:space="preserve"> Result: </t>
    </r>
    <r>
      <rPr>
        <b/>
        <sz val="10"/>
        <color theme="1"/>
        <rFont val="Arial Unicode MS"/>
      </rPr>
      <t>55000</t>
    </r>
  </si>
  <si>
    <t>Feature</t>
  </si>
  <si>
    <t>Vertical</t>
  </si>
  <si>
    <t>Horizontal</t>
  </si>
  <si>
    <t>❌ No</t>
  </si>
  <si>
    <t>✅ Yes</t>
  </si>
  <si>
    <t>Comparison Table</t>
  </si>
  <si>
    <t>Direction</t>
  </si>
  <si>
    <t>Any (simple)</t>
  </si>
  <si>
    <t>Any (flexible)</t>
  </si>
  <si>
    <t>Match Type</t>
  </si>
  <si>
    <t>Approx. only</t>
  </si>
  <si>
    <t>Exact or Approx.</t>
  </si>
  <si>
    <t>Exact, Approx., Wildcard</t>
  </si>
  <si>
    <t>Search Left?</t>
  </si>
  <si>
    <t>Dynamic Column/Row</t>
  </si>
  <si>
    <t>Default Error Handling</t>
  </si>
  <si>
    <t>Requires Sorted Data</t>
  </si>
  <si>
    <t>❌ No (if FALSE)</t>
  </si>
  <si>
    <t>Available In</t>
  </si>
  <si>
    <t>All Excel</t>
  </si>
  <si>
    <t>Excel 365/2019+</t>
  </si>
  <si>
    <t>Product ID</t>
  </si>
  <si>
    <t>Jan</t>
  </si>
  <si>
    <t>Feb</t>
  </si>
  <si>
    <t>Mar</t>
  </si>
  <si>
    <t>Total Sale</t>
  </si>
  <si>
    <t>sum in using vlookup</t>
  </si>
  <si>
    <r>
      <t xml:space="preserve">Look for </t>
    </r>
    <r>
      <rPr>
        <b/>
        <sz val="11"/>
        <color theme="1"/>
        <rFont val="Aptos Narrow"/>
        <family val="2"/>
        <scheme val="minor"/>
      </rPr>
      <t>103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A10:A14</t>
    </r>
  </si>
  <si>
    <r>
      <t xml:space="preserve">Return corresponding value from </t>
    </r>
    <r>
      <rPr>
        <b/>
        <sz val="11"/>
        <color theme="1"/>
        <rFont val="Aptos Narrow"/>
        <family val="2"/>
        <scheme val="minor"/>
      </rPr>
      <t>D10:D14</t>
    </r>
  </si>
  <si>
    <t>a</t>
  </si>
  <si>
    <t>b</t>
  </si>
  <si>
    <t>c</t>
  </si>
  <si>
    <t>d</t>
  </si>
  <si>
    <t>e</t>
  </si>
  <si>
    <t>f</t>
  </si>
  <si>
    <t>x</t>
  </si>
  <si>
    <t>y</t>
  </si>
  <si>
    <t>z</t>
  </si>
  <si>
    <t>Sum with 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</si>
</sst>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 vertical="center" indent="1"/>
    </xf>
    <xf numFmtId="0" fontId="4" fillId="2" borderId="1" xfId="0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5" fillId="5" borderId="1" xfId="0" applyFont="1" applyFill="1" applyBorder="1"/>
    <xf numFmtId="0" fontId="0" fillId="6" borderId="1" xfId="0" applyFill="1" applyBorder="1"/>
    <xf numFmtId="0" fontId="0" fillId="0" borderId="1" xfId="0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6" fillId="5" borderId="1" xfId="0" applyFont="1" applyFill="1" applyBorder="1" applyAlignment="1">
      <alignment horizontal="center"/>
    </xf>
    <xf numFmtId="0" fontId="0" fillId="5" borderId="0" xfId="0" applyFill="1"/>
    <xf numFmtId="0" fontId="0" fillId="4" borderId="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DD046-5DF3-4F15-A2DA-0599E425D171}">
  <dimension ref="A1:Y35"/>
  <sheetViews>
    <sheetView tabSelected="1" topLeftCell="A15" workbookViewId="0">
      <selection activeCell="A35" sqref="A35"/>
    </sheetView>
  </sheetViews>
  <sheetFormatPr defaultRowHeight="14.4"/>
  <cols>
    <col min="1" max="1" width="18.21875" bestFit="1" customWidth="1"/>
    <col min="2" max="2" width="10.6640625" bestFit="1" customWidth="1"/>
    <col min="3" max="3" width="15.44140625" bestFit="1" customWidth="1"/>
    <col min="4" max="4" width="23.33203125" bestFit="1" customWidth="1"/>
    <col min="5" max="5" width="19.6640625" bestFit="1" customWidth="1"/>
    <col min="6" max="6" width="18.21875" customWidth="1"/>
    <col min="7" max="7" width="32" bestFit="1" customWidth="1"/>
    <col min="8" max="8" width="12.109375" bestFit="1" customWidth="1"/>
    <col min="9" max="9" width="33.88671875" bestFit="1" customWidth="1"/>
  </cols>
  <sheetData>
    <row r="1" spans="1:25">
      <c r="A1" s="2" t="s">
        <v>19</v>
      </c>
      <c r="B1" s="3" t="s">
        <v>0</v>
      </c>
      <c r="C1" s="3" t="s">
        <v>1</v>
      </c>
      <c r="D1" s="3" t="s">
        <v>2</v>
      </c>
      <c r="E1" s="3" t="s">
        <v>3</v>
      </c>
    </row>
    <row r="2" spans="1:25">
      <c r="A2" s="2">
        <v>1</v>
      </c>
      <c r="B2" s="4" t="s">
        <v>4</v>
      </c>
      <c r="C2" s="5" t="s">
        <v>5</v>
      </c>
      <c r="D2" s="5" t="s">
        <v>6</v>
      </c>
      <c r="E2" s="5" t="s">
        <v>7</v>
      </c>
    </row>
    <row r="3" spans="1:25">
      <c r="A3" s="2">
        <v>2</v>
      </c>
      <c r="B3" s="4" t="s">
        <v>8</v>
      </c>
      <c r="C3" s="5" t="s">
        <v>9</v>
      </c>
      <c r="D3" s="5" t="s">
        <v>10</v>
      </c>
      <c r="E3" s="5" t="s">
        <v>11</v>
      </c>
      <c r="G3">
        <f>VLOOKUP(C11,C9:D14,2,FALSE)</f>
        <v>60000</v>
      </c>
    </row>
    <row r="4" spans="1:25">
      <c r="A4" s="2">
        <v>3</v>
      </c>
      <c r="B4" s="4" t="s">
        <v>12</v>
      </c>
      <c r="C4" s="5" t="s">
        <v>13</v>
      </c>
      <c r="D4" s="5" t="s">
        <v>14</v>
      </c>
      <c r="E4" s="5" t="s">
        <v>11</v>
      </c>
      <c r="G4" s="30" t="str">
        <f>IFERROR(VLOOKUP(C11,A9:D14,2,FALSE),"Check your data")</f>
        <v>Check your data</v>
      </c>
    </row>
    <row r="5" spans="1:25">
      <c r="A5" s="2">
        <v>4</v>
      </c>
      <c r="B5" s="4" t="s">
        <v>15</v>
      </c>
      <c r="C5" s="5" t="s">
        <v>16</v>
      </c>
      <c r="D5" s="5" t="s">
        <v>17</v>
      </c>
      <c r="E5" s="5" t="s">
        <v>18</v>
      </c>
      <c r="I5">
        <f>VLOOKUP(B11,B9:D14,3,FALSE)</f>
        <v>60000</v>
      </c>
    </row>
    <row r="6" spans="1:25">
      <c r="G6">
        <f>LOOKUP(A11,A10:A14,D10:D14)</f>
        <v>60000</v>
      </c>
    </row>
    <row r="7" spans="1:25">
      <c r="G7" t="str">
        <f>VLOOKUP(A11,A9:D14,3,FALSE)</f>
        <v>IT</v>
      </c>
    </row>
    <row r="9" spans="1:25">
      <c r="A9" s="7" t="s">
        <v>20</v>
      </c>
      <c r="B9" s="7" t="s">
        <v>21</v>
      </c>
      <c r="C9" s="7" t="s">
        <v>22</v>
      </c>
      <c r="D9" s="7" t="s">
        <v>23</v>
      </c>
      <c r="F9" s="11" t="s">
        <v>33</v>
      </c>
      <c r="G9" s="11" t="s">
        <v>35</v>
      </c>
      <c r="I9" s="17" t="s">
        <v>15</v>
      </c>
    </row>
    <row r="10" spans="1:25">
      <c r="A10" s="7">
        <v>101</v>
      </c>
      <c r="B10" s="7" t="s">
        <v>24</v>
      </c>
      <c r="C10" s="7" t="s">
        <v>25</v>
      </c>
      <c r="D10" s="7">
        <v>50000</v>
      </c>
      <c r="F10" s="12">
        <f>LOOKUP(A12,A10:A14,D10:D14)</f>
        <v>55000</v>
      </c>
      <c r="G10" s="12">
        <f>VLOOKUP(A12,A10:D14,4,FALSE)</f>
        <v>55000</v>
      </c>
      <c r="I10" s="17">
        <f>_xlfn.XLOOKUP(103,A10:A14,D10:D14,"Value not Found")</f>
        <v>55000</v>
      </c>
    </row>
    <row r="11" spans="1:25">
      <c r="A11" s="7">
        <v>102</v>
      </c>
      <c r="B11" s="7" t="s">
        <v>26</v>
      </c>
      <c r="C11" s="7" t="s">
        <v>27</v>
      </c>
      <c r="D11" s="7">
        <v>60000</v>
      </c>
      <c r="F11" s="28" t="s">
        <v>34</v>
      </c>
      <c r="G11" s="12"/>
      <c r="I11" s="17"/>
    </row>
    <row r="12" spans="1:25">
      <c r="A12" s="7">
        <v>103</v>
      </c>
      <c r="B12" s="7" t="s">
        <v>28</v>
      </c>
      <c r="C12" s="7" t="s">
        <v>29</v>
      </c>
      <c r="D12" s="7">
        <v>55000</v>
      </c>
      <c r="F12" s="28"/>
      <c r="G12" s="12" t="s">
        <v>36</v>
      </c>
      <c r="I12" s="16" t="s">
        <v>72</v>
      </c>
      <c r="Q12" t="s">
        <v>74</v>
      </c>
      <c r="T12" t="s">
        <v>74</v>
      </c>
      <c r="U12" t="s">
        <v>75</v>
      </c>
      <c r="V12" t="s">
        <v>80</v>
      </c>
      <c r="W12" t="s">
        <v>81</v>
      </c>
      <c r="X12" t="s">
        <v>82</v>
      </c>
      <c r="Y12" t="s">
        <v>78</v>
      </c>
    </row>
    <row r="13" spans="1:25">
      <c r="A13" s="7">
        <v>104</v>
      </c>
      <c r="B13" s="7" t="s">
        <v>30</v>
      </c>
      <c r="C13" s="7" t="s">
        <v>27</v>
      </c>
      <c r="D13" s="7">
        <v>62000</v>
      </c>
      <c r="F13" s="28"/>
      <c r="G13" s="12" t="s">
        <v>37</v>
      </c>
      <c r="I13" s="16" t="s">
        <v>73</v>
      </c>
      <c r="Q13" t="s">
        <v>75</v>
      </c>
    </row>
    <row r="14" spans="1:25">
      <c r="A14" s="7">
        <v>105</v>
      </c>
      <c r="B14" s="7" t="s">
        <v>31</v>
      </c>
      <c r="C14" s="7" t="s">
        <v>32</v>
      </c>
      <c r="D14" s="7">
        <v>48000</v>
      </c>
      <c r="F14" s="28"/>
      <c r="G14" s="12" t="s">
        <v>38</v>
      </c>
      <c r="I14" s="16" t="s">
        <v>43</v>
      </c>
      <c r="Q14" t="s">
        <v>76</v>
      </c>
    </row>
    <row r="15" spans="1:25" ht="18">
      <c r="F15" s="12"/>
      <c r="G15" s="12"/>
      <c r="I15" s="18" t="s">
        <v>44</v>
      </c>
      <c r="Q15" t="s">
        <v>77</v>
      </c>
      <c r="U15" t="s">
        <v>74</v>
      </c>
    </row>
    <row r="16" spans="1:25">
      <c r="Q16" t="s">
        <v>78</v>
      </c>
      <c r="U16" t="s">
        <v>75</v>
      </c>
    </row>
    <row r="17" spans="1:21">
      <c r="A17" t="s">
        <v>42</v>
      </c>
      <c r="G17" s="13" t="s">
        <v>12</v>
      </c>
      <c r="Q17" t="s">
        <v>79</v>
      </c>
      <c r="U17" t="s">
        <v>80</v>
      </c>
    </row>
    <row r="18" spans="1:21" s="9" customFormat="1">
      <c r="A18" s="8" t="s">
        <v>20</v>
      </c>
      <c r="B18" s="8">
        <v>101</v>
      </c>
      <c r="C18" s="8">
        <v>102</v>
      </c>
      <c r="D18" s="8">
        <v>103</v>
      </c>
      <c r="E18" s="8">
        <v>104</v>
      </c>
      <c r="F18" s="10">
        <v>105</v>
      </c>
      <c r="G18" s="12">
        <f>HLOOKUP(103,A18:F21,4,FALSE)</f>
        <v>55000</v>
      </c>
      <c r="I18" s="9">
        <f>HLOOKUP(D18,A18:F21,4,FALSE)</f>
        <v>55000</v>
      </c>
      <c r="U18" t="s">
        <v>81</v>
      </c>
    </row>
    <row r="19" spans="1:21" s="9" customFormat="1">
      <c r="A19" s="8" t="s">
        <v>21</v>
      </c>
      <c r="B19" s="8" t="s">
        <v>24</v>
      </c>
      <c r="C19" s="8" t="s">
        <v>26</v>
      </c>
      <c r="D19" s="8" t="s">
        <v>28</v>
      </c>
      <c r="E19" s="8" t="s">
        <v>30</v>
      </c>
      <c r="F19" s="10" t="s">
        <v>31</v>
      </c>
      <c r="G19" s="14" t="s">
        <v>39</v>
      </c>
      <c r="U19" t="s">
        <v>82</v>
      </c>
    </row>
    <row r="20" spans="1:21" s="9" customFormat="1">
      <c r="A20" s="8" t="s">
        <v>22</v>
      </c>
      <c r="B20" s="8" t="s">
        <v>25</v>
      </c>
      <c r="C20" s="8" t="s">
        <v>27</v>
      </c>
      <c r="D20" s="8" t="s">
        <v>29</v>
      </c>
      <c r="E20" s="8" t="s">
        <v>27</v>
      </c>
      <c r="F20" s="10" t="s">
        <v>32</v>
      </c>
      <c r="G20" s="14" t="s">
        <v>40</v>
      </c>
      <c r="U20" t="s">
        <v>78</v>
      </c>
    </row>
    <row r="21" spans="1:21" s="9" customFormat="1">
      <c r="A21" s="8" t="s">
        <v>23</v>
      </c>
      <c r="B21" s="8">
        <v>50000</v>
      </c>
      <c r="C21" s="8">
        <v>60000</v>
      </c>
      <c r="D21" s="8">
        <v>55000</v>
      </c>
      <c r="E21" s="8">
        <v>62000</v>
      </c>
      <c r="F21" s="10">
        <v>48000</v>
      </c>
      <c r="G21" s="14" t="s">
        <v>38</v>
      </c>
    </row>
    <row r="22" spans="1:21" ht="23.4">
      <c r="G22" s="15" t="s">
        <v>41</v>
      </c>
      <c r="H22" s="29" t="s">
        <v>71</v>
      </c>
      <c r="I22" s="29"/>
      <c r="J22" s="29"/>
      <c r="K22" s="29"/>
    </row>
    <row r="23" spans="1:21" ht="18">
      <c r="A23" s="6"/>
      <c r="H23" s="23" t="s">
        <v>66</v>
      </c>
      <c r="I23" s="26" t="s">
        <v>67</v>
      </c>
      <c r="J23" s="26" t="s">
        <v>68</v>
      </c>
      <c r="K23" s="26" t="s">
        <v>69</v>
      </c>
    </row>
    <row r="24" spans="1:21">
      <c r="A24" s="1"/>
      <c r="H24" s="24">
        <v>10</v>
      </c>
      <c r="I24" s="27">
        <v>12000</v>
      </c>
      <c r="J24" s="27">
        <v>4000</v>
      </c>
      <c r="K24" s="27">
        <v>4500</v>
      </c>
      <c r="M24">
        <f>SUM(I24:K24)</f>
        <v>20500</v>
      </c>
    </row>
    <row r="25" spans="1:21">
      <c r="A25" s="19" t="s">
        <v>50</v>
      </c>
      <c r="B25" s="12"/>
      <c r="C25" s="12"/>
      <c r="D25" s="12"/>
      <c r="E25" s="12"/>
      <c r="H25" s="24">
        <v>11</v>
      </c>
      <c r="I25" s="27">
        <v>23000</v>
      </c>
      <c r="J25" s="27">
        <v>3000</v>
      </c>
      <c r="K25" s="27">
        <v>5600</v>
      </c>
      <c r="M25">
        <f t="shared" ref="M25:M28" si="0">SUM(I25:K25)</f>
        <v>31600</v>
      </c>
    </row>
    <row r="26" spans="1:21">
      <c r="A26" s="20" t="s">
        <v>45</v>
      </c>
      <c r="B26" s="21" t="s">
        <v>4</v>
      </c>
      <c r="C26" s="21" t="s">
        <v>8</v>
      </c>
      <c r="D26" s="21" t="s">
        <v>12</v>
      </c>
      <c r="E26" s="21" t="s">
        <v>15</v>
      </c>
      <c r="H26" s="24">
        <v>12</v>
      </c>
      <c r="I26" s="27">
        <v>12000</v>
      </c>
      <c r="J26" s="27">
        <v>34000</v>
      </c>
      <c r="K26" s="27">
        <v>6500</v>
      </c>
      <c r="M26">
        <f>SUM(I26:K26)</f>
        <v>52500</v>
      </c>
    </row>
    <row r="27" spans="1:21">
      <c r="A27" s="22" t="s">
        <v>51</v>
      </c>
      <c r="B27" s="22" t="s">
        <v>52</v>
      </c>
      <c r="C27" s="22" t="s">
        <v>46</v>
      </c>
      <c r="D27" s="22" t="s">
        <v>47</v>
      </c>
      <c r="E27" s="22" t="s">
        <v>53</v>
      </c>
      <c r="H27" s="24">
        <v>13</v>
      </c>
      <c r="I27" s="27">
        <v>2000</v>
      </c>
      <c r="J27" s="27">
        <v>54000</v>
      </c>
      <c r="K27" s="27">
        <v>45000</v>
      </c>
      <c r="M27">
        <f t="shared" si="0"/>
        <v>101000</v>
      </c>
    </row>
    <row r="28" spans="1:21">
      <c r="A28" s="22" t="s">
        <v>54</v>
      </c>
      <c r="B28" s="22" t="s">
        <v>55</v>
      </c>
      <c r="C28" s="22" t="s">
        <v>56</v>
      </c>
      <c r="D28" s="22" t="s">
        <v>56</v>
      </c>
      <c r="E28" s="22" t="s">
        <v>57</v>
      </c>
      <c r="H28" s="24">
        <v>14</v>
      </c>
      <c r="I28" s="27">
        <v>33000</v>
      </c>
      <c r="J28" s="27">
        <v>2000</v>
      </c>
      <c r="K28" s="27">
        <v>45000</v>
      </c>
      <c r="M28">
        <f t="shared" si="0"/>
        <v>80000</v>
      </c>
    </row>
    <row r="29" spans="1:21">
      <c r="A29" s="22" t="s">
        <v>58</v>
      </c>
      <c r="B29" s="22" t="s">
        <v>49</v>
      </c>
      <c r="C29" s="22" t="s">
        <v>48</v>
      </c>
      <c r="D29" s="22" t="s">
        <v>48</v>
      </c>
      <c r="E29" s="22" t="s">
        <v>49</v>
      </c>
      <c r="H29" s="9"/>
      <c r="M29" s="30">
        <f>SUM(M24:M28)</f>
        <v>285600</v>
      </c>
    </row>
    <row r="30" spans="1:21" ht="18">
      <c r="A30" s="22" t="s">
        <v>59</v>
      </c>
      <c r="B30" s="22" t="s">
        <v>48</v>
      </c>
      <c r="C30" s="22" t="s">
        <v>48</v>
      </c>
      <c r="D30" s="22" t="s">
        <v>48</v>
      </c>
      <c r="E30" s="22" t="s">
        <v>49</v>
      </c>
      <c r="H30" s="23" t="s">
        <v>66</v>
      </c>
      <c r="I30" s="23" t="s">
        <v>70</v>
      </c>
    </row>
    <row r="31" spans="1:21">
      <c r="A31" s="22" t="s">
        <v>60</v>
      </c>
      <c r="B31" s="22" t="s">
        <v>48</v>
      </c>
      <c r="C31" s="22" t="s">
        <v>48</v>
      </c>
      <c r="D31" s="22" t="s">
        <v>48</v>
      </c>
      <c r="E31" s="22" t="s">
        <v>49</v>
      </c>
      <c r="H31" s="25">
        <v>12</v>
      </c>
      <c r="I31" s="2" cm="1">
        <f t="array" ref="I31">SUM(VLOOKUP(H31,H23:K28,{2,3,4},0))</f>
        <v>52500</v>
      </c>
    </row>
    <row r="32" spans="1:21">
      <c r="A32" s="22" t="s">
        <v>61</v>
      </c>
      <c r="B32" s="22" t="s">
        <v>49</v>
      </c>
      <c r="C32" s="22" t="s">
        <v>62</v>
      </c>
      <c r="D32" s="22" t="s">
        <v>62</v>
      </c>
      <c r="E32" s="22" t="s">
        <v>48</v>
      </c>
      <c r="H32" s="31" t="s">
        <v>83</v>
      </c>
      <c r="I32" cm="1">
        <f t="array" ref="I32">SUM(VLOOKUP(H31,H24:K28,{2,3,4},FALSE))</f>
        <v>52500</v>
      </c>
    </row>
    <row r="33" spans="1:9">
      <c r="A33" s="22" t="s">
        <v>63</v>
      </c>
      <c r="B33" s="22" t="s">
        <v>64</v>
      </c>
      <c r="C33" s="22" t="s">
        <v>64</v>
      </c>
      <c r="D33" s="22" t="s">
        <v>64</v>
      </c>
      <c r="E33" s="22" t="s">
        <v>65</v>
      </c>
      <c r="I33" cm="1">
        <f t="array" ref="I33">MIN(VLOOKUP(H31,H24:K28,{2,3,4},FALSE))</f>
        <v>6500</v>
      </c>
    </row>
    <row r="35" spans="1:9" ht="18">
      <c r="A35" s="6"/>
    </row>
  </sheetData>
  <mergeCells count="2">
    <mergeCell ref="F11:F14"/>
    <mergeCell ref="H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rvpandey2025@outlook.com</dc:creator>
  <cp:lastModifiedBy>rvpandey2025@outlook.com</cp:lastModifiedBy>
  <dcterms:created xsi:type="dcterms:W3CDTF">2025-08-19T20:22:02Z</dcterms:created>
  <dcterms:modified xsi:type="dcterms:W3CDTF">2025-08-21T15:35:03Z</dcterms:modified>
</cp:coreProperties>
</file>