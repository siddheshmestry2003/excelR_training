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day 8/"/>
    </mc:Choice>
  </mc:AlternateContent>
  <xr:revisionPtr revIDLastSave="64" documentId="11_C2027FD197D9AE9F8A0D8F72586D615561B4F0FF" xr6:coauthVersionLast="47" xr6:coauthVersionMax="47" xr10:uidLastSave="{AFAF2660-9787-4113-94E2-75B651905A7E}"/>
  <bookViews>
    <workbookView xWindow="-108" yWindow="-108" windowWidth="23256" windowHeight="12456" activeTab="2" xr2:uid="{00000000-000D-0000-FFFF-FFFF00000000}"/>
  </bookViews>
  <sheets>
    <sheet name="index" sheetId="1" r:id="rId1"/>
    <sheet name="match function" sheetId="2" r:id="rId2"/>
    <sheet name="match+inde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H18" i="3"/>
  <c r="L25" i="3" a="1"/>
  <c r="L25" i="3"/>
  <c r="K8" i="2"/>
  <c r="D18" i="2"/>
  <c r="F19" i="1" a="1"/>
  <c r="F19" i="1" s="1"/>
  <c r="J5" i="1" a="1"/>
  <c r="J5" i="1" s="1"/>
  <c r="J9" i="1" a="1"/>
  <c r="J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<sst xmlns="http://schemas.openxmlformats.org/spreadsheetml/2006/main" count="112" uniqueCount="32">
  <si>
    <t>ID</t>
  </si>
  <si>
    <t>Name</t>
  </si>
  <si>
    <t>Department</t>
  </si>
  <si>
    <t>Age</t>
  </si>
  <si>
    <t>Salary</t>
  </si>
  <si>
    <t>City</t>
  </si>
  <si>
    <t>Rohan Mehta</t>
  </si>
  <si>
    <t>Priya Shah</t>
  </si>
  <si>
    <t>Amit Verma</t>
  </si>
  <si>
    <t>Neha Singh</t>
  </si>
  <si>
    <t>Arjun Patil</t>
  </si>
  <si>
    <t>Kavita Rao</t>
  </si>
  <si>
    <t>Raj Malhotra</t>
  </si>
  <si>
    <t>Simran Kaur</t>
  </si>
  <si>
    <t>Aditya Joshi</t>
  </si>
  <si>
    <t>Sneha Kulkarni</t>
  </si>
  <si>
    <t>IT</t>
  </si>
  <si>
    <t>HR</t>
  </si>
  <si>
    <t>Finance</t>
  </si>
  <si>
    <t>Marketing</t>
  </si>
  <si>
    <t>Mumbai</t>
  </si>
  <si>
    <t>Pune</t>
  </si>
  <si>
    <t>Delhi</t>
  </si>
  <si>
    <t>Bangalore</t>
  </si>
  <si>
    <t>Hyderabad</t>
  </si>
  <si>
    <t>Chennai</t>
  </si>
  <si>
    <t>Kolkata</t>
  </si>
  <si>
    <t>Jaipur</t>
  </si>
  <si>
    <t>Ahmedabad</t>
  </si>
  <si>
    <t>Surat</t>
  </si>
  <si>
    <t>row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</si>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</sst>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J5" sqref="J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3">
      <c r="A2">
        <v>1</v>
      </c>
      <c r="B2" t="s">
        <v>6</v>
      </c>
      <c r="C2" t="s">
        <v>16</v>
      </c>
      <c r="D2">
        <v>28</v>
      </c>
      <c r="E2">
        <v>55000</v>
      </c>
      <c r="F2" t="s">
        <v>20</v>
      </c>
    </row>
    <row r="3" spans="1:15" x14ac:dyDescent="0.3">
      <c r="A3">
        <v>2</v>
      </c>
      <c r="B3" t="s">
        <v>7</v>
      </c>
      <c r="C3" t="s">
        <v>17</v>
      </c>
      <c r="D3">
        <v>32</v>
      </c>
      <c r="E3">
        <v>48000</v>
      </c>
      <c r="F3" t="s">
        <v>21</v>
      </c>
    </row>
    <row r="4" spans="1:15" x14ac:dyDescent="0.3">
      <c r="A4">
        <v>3</v>
      </c>
      <c r="B4" t="s">
        <v>8</v>
      </c>
      <c r="C4" t="s">
        <v>18</v>
      </c>
      <c r="D4">
        <v>29</v>
      </c>
      <c r="E4">
        <v>60000</v>
      </c>
      <c r="F4" t="s">
        <v>22</v>
      </c>
    </row>
    <row r="5" spans="1:15" x14ac:dyDescent="0.3">
      <c r="A5">
        <v>4</v>
      </c>
      <c r="B5" t="s">
        <v>9</v>
      </c>
      <c r="C5" t="s">
        <v>19</v>
      </c>
      <c r="D5">
        <v>35</v>
      </c>
      <c r="E5">
        <v>75000</v>
      </c>
      <c r="F5" t="s">
        <v>23</v>
      </c>
      <c r="J5" cm="1">
        <f t="array" ref="J5:O5">INDEX(A2:F11,2,)</f>
        <v>2</v>
      </c>
      <c r="K5" t="str">
        <v>Priya Shah</v>
      </c>
      <c r="L5" t="str">
        <v>HR</v>
      </c>
      <c r="M5">
        <v>32</v>
      </c>
      <c r="N5">
        <v>48000</v>
      </c>
      <c r="O5" t="str">
        <v>Pune</v>
      </c>
    </row>
    <row r="6" spans="1:15" x14ac:dyDescent="0.3">
      <c r="A6">
        <v>5</v>
      </c>
      <c r="B6" t="s">
        <v>10</v>
      </c>
      <c r="C6" t="s">
        <v>16</v>
      </c>
      <c r="D6">
        <v>26</v>
      </c>
      <c r="E6">
        <v>52000</v>
      </c>
      <c r="F6" t="s">
        <v>24</v>
      </c>
    </row>
    <row r="7" spans="1:15" x14ac:dyDescent="0.3">
      <c r="A7">
        <v>6</v>
      </c>
      <c r="B7" t="s">
        <v>11</v>
      </c>
      <c r="C7" t="s">
        <v>17</v>
      </c>
      <c r="D7">
        <v>30</v>
      </c>
      <c r="E7">
        <v>50000</v>
      </c>
      <c r="F7" t="s">
        <v>25</v>
      </c>
    </row>
    <row r="8" spans="1:15" x14ac:dyDescent="0.3">
      <c r="A8">
        <v>7</v>
      </c>
      <c r="B8" t="s">
        <v>12</v>
      </c>
      <c r="C8" t="s">
        <v>18</v>
      </c>
      <c r="D8">
        <v>40</v>
      </c>
      <c r="E8">
        <v>90000</v>
      </c>
      <c r="F8" t="s">
        <v>26</v>
      </c>
    </row>
    <row r="9" spans="1:15" x14ac:dyDescent="0.3">
      <c r="A9">
        <v>8</v>
      </c>
      <c r="B9" t="s">
        <v>13</v>
      </c>
      <c r="C9" t="s">
        <v>19</v>
      </c>
      <c r="D9">
        <v>27</v>
      </c>
      <c r="E9">
        <v>58000</v>
      </c>
      <c r="F9" t="s">
        <v>27</v>
      </c>
      <c r="J9" t="str" cm="1">
        <f t="array" ref="J9:J18">INDEX(A2:F11,,6)</f>
        <v>Mumbai</v>
      </c>
    </row>
    <row r="10" spans="1:15" x14ac:dyDescent="0.3">
      <c r="A10">
        <v>9</v>
      </c>
      <c r="B10" t="s">
        <v>14</v>
      </c>
      <c r="C10" t="s">
        <v>16</v>
      </c>
      <c r="D10">
        <v>31</v>
      </c>
      <c r="E10">
        <v>65000</v>
      </c>
      <c r="F10" t="s">
        <v>28</v>
      </c>
      <c r="J10" t="str">
        <v>Pune</v>
      </c>
    </row>
    <row r="11" spans="1:15" x14ac:dyDescent="0.3">
      <c r="A11">
        <v>10</v>
      </c>
      <c r="B11" t="s">
        <v>15</v>
      </c>
      <c r="C11" t="s">
        <v>17</v>
      </c>
      <c r="D11">
        <v>29</v>
      </c>
      <c r="E11">
        <v>47000</v>
      </c>
      <c r="F11" t="s">
        <v>29</v>
      </c>
      <c r="J11" t="str">
        <v>Delhi</v>
      </c>
    </row>
    <row r="12" spans="1:15" x14ac:dyDescent="0.3">
      <c r="J12" t="str">
        <v>Bangalore</v>
      </c>
    </row>
    <row r="13" spans="1:15" x14ac:dyDescent="0.3">
      <c r="J13" t="str">
        <v>Hyderabad</v>
      </c>
    </row>
    <row r="14" spans="1:15" x14ac:dyDescent="0.3">
      <c r="J14" t="str">
        <v>Chennai</v>
      </c>
    </row>
    <row r="15" spans="1:15" x14ac:dyDescent="0.3">
      <c r="J15" t="str">
        <v>Kolkata</v>
      </c>
    </row>
    <row r="16" spans="1:15" x14ac:dyDescent="0.3">
      <c r="J16" t="str">
        <v>Jaipur</v>
      </c>
    </row>
    <row r="17" spans="3:10" x14ac:dyDescent="0.3">
      <c r="J17" t="str">
        <v>Ahmedabad</v>
      </c>
    </row>
    <row r="18" spans="3:10" x14ac:dyDescent="0.3">
      <c r="C18" s="2" t="s">
        <v>30</v>
      </c>
      <c r="D18" s="2" t="s">
        <v>31</v>
      </c>
      <c r="J18" t="str">
        <v>Surat</v>
      </c>
    </row>
    <row r="19" spans="3:10" x14ac:dyDescent="0.3">
      <c r="C19">
        <v>4</v>
      </c>
      <c r="D19" t="s">
        <v>1</v>
      </c>
      <c r="F19" t="e" cm="1">
        <f t="array" ref="F19">INDEX(A1:F11,C19,D19)</f>
        <v>#VALUE!</v>
      </c>
    </row>
  </sheetData>
  <dataValidations count="2">
    <dataValidation type="list" allowBlank="1" showInputMessage="1" showErrorMessage="1" sqref="C19" xr:uid="{E16DE500-861B-4034-AEE7-131A830B9F79}">
      <formula1>$A$2:$A$11</formula1>
    </dataValidation>
    <dataValidation type="list" allowBlank="1" showInputMessage="1" showErrorMessage="1" sqref="D19" xr:uid="{A86ED2B2-E3BE-471D-B8EA-F15EDBEE8677}">
      <formula1>$A$1:$F$1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1201-0572-4662-9212-9CD6D08AC55D}">
  <dimension ref="B3:K18"/>
  <sheetViews>
    <sheetView topLeftCell="A7" zoomScale="150" workbookViewId="0">
      <selection activeCell="K8" sqref="K8"/>
    </sheetView>
  </sheetViews>
  <sheetFormatPr defaultRowHeight="14.4" x14ac:dyDescent="0.3"/>
  <sheetData>
    <row r="3" spans="2:11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11" x14ac:dyDescent="0.3">
      <c r="B4" s="4">
        <v>1</v>
      </c>
      <c r="C4" s="4" t="s">
        <v>6</v>
      </c>
      <c r="D4" s="4" t="s">
        <v>16</v>
      </c>
      <c r="E4" s="4">
        <v>28</v>
      </c>
      <c r="F4" s="4">
        <v>55000</v>
      </c>
      <c r="G4" s="4" t="s">
        <v>20</v>
      </c>
    </row>
    <row r="5" spans="2:11" x14ac:dyDescent="0.3">
      <c r="B5" s="4">
        <v>2</v>
      </c>
      <c r="C5" s="4" t="s">
        <v>7</v>
      </c>
      <c r="D5" s="4" t="s">
        <v>17</v>
      </c>
      <c r="E5" s="4">
        <v>32</v>
      </c>
      <c r="F5" s="4">
        <v>48000</v>
      </c>
      <c r="G5" s="4" t="s">
        <v>21</v>
      </c>
    </row>
    <row r="6" spans="2:11" x14ac:dyDescent="0.3">
      <c r="B6" s="4">
        <v>3</v>
      </c>
      <c r="C6" s="4" t="s">
        <v>8</v>
      </c>
      <c r="D6" s="4" t="s">
        <v>18</v>
      </c>
      <c r="E6" s="4">
        <v>29</v>
      </c>
      <c r="F6" s="4">
        <v>60000</v>
      </c>
      <c r="G6" s="4" t="s">
        <v>22</v>
      </c>
    </row>
    <row r="7" spans="2:11" x14ac:dyDescent="0.3">
      <c r="B7" s="4">
        <v>4</v>
      </c>
      <c r="C7" s="4" t="s">
        <v>9</v>
      </c>
      <c r="D7" s="4" t="s">
        <v>19</v>
      </c>
      <c r="E7" s="4">
        <v>35</v>
      </c>
      <c r="F7" s="4">
        <v>75000</v>
      </c>
      <c r="G7" s="4" t="s">
        <v>23</v>
      </c>
      <c r="J7" s="4"/>
      <c r="K7" s="6" t="s">
        <v>1</v>
      </c>
    </row>
    <row r="8" spans="2:11" x14ac:dyDescent="0.3">
      <c r="B8" s="4">
        <v>5</v>
      </c>
      <c r="C8" s="4" t="s">
        <v>10</v>
      </c>
      <c r="D8" s="4" t="s">
        <v>16</v>
      </c>
      <c r="E8" s="4">
        <v>26</v>
      </c>
      <c r="F8" s="4">
        <v>52000</v>
      </c>
      <c r="G8" s="4" t="s">
        <v>24</v>
      </c>
      <c r="J8" s="5">
        <v>4</v>
      </c>
      <c r="K8" s="4" t="str">
        <f>INDEX(B4:G13,MATCH($J$8,$B4:$B13,0),MATCH($K$7,B$3:G$3,0))</f>
        <v>Neha Singh</v>
      </c>
    </row>
    <row r="9" spans="2:11" x14ac:dyDescent="0.3">
      <c r="B9" s="4">
        <v>6</v>
      </c>
      <c r="C9" s="4" t="s">
        <v>11</v>
      </c>
      <c r="D9" s="4" t="s">
        <v>17</v>
      </c>
      <c r="E9" s="4">
        <v>30</v>
      </c>
      <c r="F9" s="4">
        <v>50000</v>
      </c>
      <c r="G9" s="4" t="s">
        <v>25</v>
      </c>
      <c r="J9" s="4"/>
      <c r="K9" s="4"/>
    </row>
    <row r="10" spans="2:11" x14ac:dyDescent="0.3">
      <c r="B10" s="4">
        <v>7</v>
      </c>
      <c r="C10" s="4" t="s">
        <v>12</v>
      </c>
      <c r="D10" s="4" t="s">
        <v>18</v>
      </c>
      <c r="E10" s="4">
        <v>40</v>
      </c>
      <c r="F10" s="4">
        <v>90000</v>
      </c>
      <c r="G10" s="4" t="s">
        <v>26</v>
      </c>
    </row>
    <row r="11" spans="2:11" x14ac:dyDescent="0.3">
      <c r="B11" s="4">
        <v>8</v>
      </c>
      <c r="C11" s="4" t="s">
        <v>13</v>
      </c>
      <c r="D11" s="4" t="s">
        <v>19</v>
      </c>
      <c r="E11" s="4">
        <v>27</v>
      </c>
      <c r="F11" s="4">
        <v>58000</v>
      </c>
      <c r="G11" s="4" t="s">
        <v>27</v>
      </c>
    </row>
    <row r="12" spans="2:11" x14ac:dyDescent="0.3">
      <c r="B12" s="4">
        <v>9</v>
      </c>
      <c r="C12" s="4" t="s">
        <v>14</v>
      </c>
      <c r="D12" s="4" t="s">
        <v>16</v>
      </c>
      <c r="E12" s="4">
        <v>31</v>
      </c>
      <c r="F12" s="4">
        <v>65000</v>
      </c>
      <c r="G12" s="4" t="s">
        <v>28</v>
      </c>
    </row>
    <row r="13" spans="2:11" x14ac:dyDescent="0.3">
      <c r="B13" s="4">
        <v>10</v>
      </c>
      <c r="C13" s="4" t="s">
        <v>15</v>
      </c>
      <c r="D13" s="4" t="s">
        <v>17</v>
      </c>
      <c r="E13" s="4">
        <v>29</v>
      </c>
      <c r="F13" s="4">
        <v>47000</v>
      </c>
      <c r="G13" s="4" t="s">
        <v>29</v>
      </c>
    </row>
    <row r="14" spans="2:11" x14ac:dyDescent="0.3">
      <c r="J14" s="4"/>
      <c r="K14" s="4"/>
    </row>
    <row r="15" spans="2:11" x14ac:dyDescent="0.3">
      <c r="J15" s="4"/>
      <c r="K15" s="4"/>
    </row>
    <row r="18" spans="4:4" x14ac:dyDescent="0.3">
      <c r="D18">
        <f>MATCH(C7,C4:C13,0)</f>
        <v>4</v>
      </c>
    </row>
  </sheetData>
  <dataValidations count="2">
    <dataValidation type="list" allowBlank="1" showInputMessage="1" showErrorMessage="1" sqref="J8" xr:uid="{BEA052FB-1C85-4479-A4C7-72BAB67D7AE0}">
      <formula1>$B$4:$B$13</formula1>
    </dataValidation>
    <dataValidation type="list" allowBlank="1" showInputMessage="1" showErrorMessage="1" sqref="K7" xr:uid="{5A8BD0CF-8401-4849-A9F3-7A1458479404}">
      <formula1>$B$3:$G$3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B0B5-906B-42B8-9B4F-C268E22E16D8}">
  <dimension ref="B4:L25"/>
  <sheetViews>
    <sheetView tabSelected="1" workbookViewId="0">
      <selection activeCell="I10" sqref="I10"/>
    </sheetView>
  </sheetViews>
  <sheetFormatPr defaultRowHeight="14.4" x14ac:dyDescent="0.3"/>
  <sheetData>
    <row r="4" spans="2:9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9" x14ac:dyDescent="0.3">
      <c r="B5">
        <v>1</v>
      </c>
      <c r="C5" t="s">
        <v>6</v>
      </c>
      <c r="D5" t="s">
        <v>16</v>
      </c>
      <c r="E5">
        <v>28</v>
      </c>
      <c r="F5">
        <v>55000</v>
      </c>
      <c r="G5" t="s">
        <v>20</v>
      </c>
    </row>
    <row r="6" spans="2:9" x14ac:dyDescent="0.3">
      <c r="B6">
        <v>2</v>
      </c>
      <c r="C6" t="s">
        <v>7</v>
      </c>
      <c r="D6" t="s">
        <v>17</v>
      </c>
      <c r="E6">
        <v>32</v>
      </c>
      <c r="F6">
        <v>48000</v>
      </c>
      <c r="G6" t="s">
        <v>21</v>
      </c>
    </row>
    <row r="7" spans="2:9" x14ac:dyDescent="0.3">
      <c r="B7">
        <v>3</v>
      </c>
      <c r="C7" t="s">
        <v>8</v>
      </c>
      <c r="D7" t="s">
        <v>18</v>
      </c>
      <c r="E7">
        <v>29</v>
      </c>
      <c r="F7">
        <v>60000</v>
      </c>
      <c r="G7" t="s">
        <v>22</v>
      </c>
    </row>
    <row r="8" spans="2:9" x14ac:dyDescent="0.3">
      <c r="B8">
        <v>4</v>
      </c>
      <c r="C8" t="s">
        <v>9</v>
      </c>
      <c r="D8" t="s">
        <v>19</v>
      </c>
      <c r="E8">
        <v>35</v>
      </c>
      <c r="F8">
        <v>75000</v>
      </c>
      <c r="G8" t="s">
        <v>23</v>
      </c>
    </row>
    <row r="9" spans="2:9" x14ac:dyDescent="0.3">
      <c r="B9">
        <v>5</v>
      </c>
      <c r="C9" t="s">
        <v>10</v>
      </c>
      <c r="D9" t="s">
        <v>16</v>
      </c>
      <c r="E9">
        <v>26</v>
      </c>
      <c r="F9">
        <v>52000</v>
      </c>
      <c r="G9" t="s">
        <v>24</v>
      </c>
      <c r="I9" t="str">
        <f>INDEX(C5:C14,2)</f>
        <v>Priya Shah</v>
      </c>
    </row>
    <row r="10" spans="2:9" x14ac:dyDescent="0.3">
      <c r="B10">
        <v>6</v>
      </c>
      <c r="C10" t="s">
        <v>11</v>
      </c>
      <c r="D10" t="s">
        <v>17</v>
      </c>
      <c r="E10">
        <v>30</v>
      </c>
      <c r="F10">
        <v>50000</v>
      </c>
      <c r="G10" t="s">
        <v>25</v>
      </c>
    </row>
    <row r="11" spans="2:9" x14ac:dyDescent="0.3">
      <c r="B11">
        <v>7</v>
      </c>
      <c r="C11" t="s">
        <v>12</v>
      </c>
      <c r="D11" t="s">
        <v>18</v>
      </c>
      <c r="E11">
        <v>40</v>
      </c>
      <c r="F11">
        <v>90000</v>
      </c>
      <c r="G11" t="s">
        <v>26</v>
      </c>
    </row>
    <row r="12" spans="2:9" x14ac:dyDescent="0.3">
      <c r="B12">
        <v>8</v>
      </c>
      <c r="C12" t="s">
        <v>13</v>
      </c>
      <c r="D12" t="s">
        <v>19</v>
      </c>
      <c r="E12">
        <v>27</v>
      </c>
      <c r="F12">
        <v>58000</v>
      </c>
      <c r="G12" t="s">
        <v>27</v>
      </c>
    </row>
    <row r="13" spans="2:9" x14ac:dyDescent="0.3">
      <c r="B13">
        <v>9</v>
      </c>
      <c r="C13" t="s">
        <v>14</v>
      </c>
      <c r="D13" t="s">
        <v>16</v>
      </c>
      <c r="E13">
        <v>31</v>
      </c>
      <c r="F13">
        <v>65000</v>
      </c>
      <c r="G13" t="s">
        <v>28</v>
      </c>
    </row>
    <row r="14" spans="2:9" x14ac:dyDescent="0.3">
      <c r="B14">
        <v>10</v>
      </c>
      <c r="C14" t="s">
        <v>15</v>
      </c>
      <c r="D14" t="s">
        <v>17</v>
      </c>
      <c r="E14">
        <v>29</v>
      </c>
      <c r="F14">
        <v>47000</v>
      </c>
      <c r="G14" t="s">
        <v>29</v>
      </c>
    </row>
    <row r="18" spans="8:12" x14ac:dyDescent="0.3">
      <c r="H18">
        <f>MATCH(C8,C5:C14,0)</f>
        <v>4</v>
      </c>
    </row>
    <row r="25" spans="8:12" x14ac:dyDescent="0.3">
      <c r="L25" t="e" cm="1">
        <f t="array" ref="L25">date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match function</vt:lpstr>
      <vt:lpstr>match+index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Siddhesh Mestry</cp:lastModifiedBy>
  <dcterms:created xsi:type="dcterms:W3CDTF">2025-08-22T14:15:49Z</dcterms:created>
  <dcterms:modified xsi:type="dcterms:W3CDTF">2025-08-25T13:55:20Z</dcterms:modified>
</cp:coreProperties>
</file>